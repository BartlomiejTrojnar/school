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360" yWindow="60" windowWidth="9276" windowHeight="3876" firstSheet="1" activeTab="6"/>
  </bookViews>
  <sheets>
    <sheet name="Arkusz3" sheetId="3" state="hidden" r:id="rId1"/>
    <sheet name="lista_uczniów" sheetId="25" r:id="rId2"/>
    <sheet name="np" sheetId="26" r:id="rId3"/>
    <sheet name="komunikacja" sheetId="27" r:id="rId4"/>
    <sheet name="formatowanie" sheetId="28" r:id="rId5"/>
    <sheet name="punktacja" sheetId="11" r:id="rId6"/>
    <sheet name="rozmieszczanie" sheetId="29" r:id="rId7"/>
    <sheet name="spisy" sheetId="24" r:id="rId8"/>
    <sheet name="tabliczka" sheetId="16" r:id="rId9"/>
    <sheet name="f_warunkowe" sheetId="19" r:id="rId10"/>
    <sheet name="prezentacja" sheetId="31" r:id="rId11"/>
    <sheet name="pok" sheetId="32" r:id="rId12"/>
  </sheets>
  <definedNames>
    <definedName name="_xlnm._FilterDatabase" localSheetId="9" hidden="1">f_warunkowe!$A$1:$AA$133</definedName>
    <definedName name="_xlnm._FilterDatabase" localSheetId="4" hidden="1">formatowanie!$A$1:$O$172</definedName>
    <definedName name="_xlnm._FilterDatabase" localSheetId="3" hidden="1">komunikacja!$A$1:$Y$174</definedName>
    <definedName name="_xlnm._FilterDatabase" localSheetId="1" hidden="1">lista_uczniów!$A$1:$F$158</definedName>
    <definedName name="_xlnm._FilterDatabase" localSheetId="2" hidden="1">np!$A$1:$H$110</definedName>
    <definedName name="_xlnm._FilterDatabase" localSheetId="11" hidden="1">pok!$A$1:$O$108</definedName>
    <definedName name="_xlnm._FilterDatabase" localSheetId="10" hidden="1">prezentacja!$A$1:$Z$108</definedName>
    <definedName name="_xlnm._FilterDatabase" localSheetId="6" hidden="1">rozmieszczanie!$A$1:$P$174</definedName>
    <definedName name="_xlnm._FilterDatabase" localSheetId="7" hidden="1">spisy!$A$1:$P$171</definedName>
    <definedName name="_xlnm._FilterDatabase" localSheetId="8" hidden="1">tabliczka!$A$1:$N$128</definedName>
  </definedNames>
  <calcPr calcId="162913"/>
</workbook>
</file>

<file path=xl/calcChain.xml><?xml version="1.0" encoding="utf-8"?>
<calcChain xmlns="http://schemas.openxmlformats.org/spreadsheetml/2006/main">
  <c r="L152" i="29" l="1"/>
  <c r="M152" i="29" s="1"/>
  <c r="L148" i="27" l="1"/>
  <c r="M148" i="27" s="1"/>
  <c r="L129" i="27"/>
  <c r="M129" i="27" s="1"/>
  <c r="L162" i="29" l="1"/>
  <c r="L44" i="29"/>
  <c r="L102" i="29"/>
  <c r="L26" i="29"/>
  <c r="L106" i="29" l="1"/>
  <c r="L97" i="29"/>
  <c r="L134" i="29"/>
  <c r="L169" i="29" l="1"/>
  <c r="L165" i="29"/>
  <c r="L140" i="29" l="1"/>
  <c r="L138" i="29"/>
  <c r="L131" i="29"/>
  <c r="L125" i="29"/>
  <c r="L123" i="29"/>
  <c r="L120" i="29"/>
  <c r="L113" i="29"/>
  <c r="L141" i="29"/>
  <c r="L30" i="27" l="1"/>
  <c r="M30" i="27" s="1"/>
  <c r="L136" i="27"/>
  <c r="M136" i="27" s="1"/>
  <c r="L14" i="27" l="1"/>
  <c r="M14" i="27" s="1"/>
  <c r="L135" i="28" l="1"/>
  <c r="M135" i="28" s="1"/>
  <c r="M134" i="28"/>
  <c r="L134" i="28"/>
  <c r="L152" i="28"/>
  <c r="M152" i="28" s="1"/>
  <c r="L19" i="28"/>
  <c r="M19" i="28" s="1"/>
  <c r="L21" i="28"/>
  <c r="M21" i="28" s="1"/>
  <c r="L155" i="28"/>
  <c r="M155" i="28" s="1"/>
  <c r="L132" i="27" l="1"/>
  <c r="M132" i="27" s="1"/>
  <c r="L131" i="27"/>
  <c r="M131" i="27" s="1"/>
  <c r="L75" i="28" l="1"/>
  <c r="M75" i="28" s="1"/>
  <c r="L158" i="28"/>
  <c r="M158" i="28" s="1"/>
  <c r="L101" i="28" l="1"/>
  <c r="M101" i="28" s="1"/>
  <c r="L169" i="28" l="1"/>
  <c r="M169" i="28" s="1"/>
  <c r="L61" i="28"/>
  <c r="M61" i="28" s="1"/>
  <c r="L70" i="28" l="1"/>
  <c r="L80" i="28"/>
  <c r="L84" i="28"/>
  <c r="L57" i="28" l="1"/>
  <c r="L8" i="28" l="1"/>
  <c r="L118" i="27" l="1"/>
  <c r="M118" i="27" s="1"/>
  <c r="L155" i="27" l="1"/>
  <c r="M155" i="27" s="1"/>
  <c r="L4" i="28" l="1"/>
  <c r="L5" i="28"/>
  <c r="L6" i="28"/>
  <c r="L7" i="28"/>
  <c r="L9" i="28"/>
  <c r="L10" i="28"/>
  <c r="L11" i="28"/>
  <c r="L12" i="28"/>
  <c r="L13" i="28"/>
  <c r="L14" i="28"/>
  <c r="L15" i="28"/>
  <c r="L16" i="28"/>
  <c r="L17" i="28"/>
  <c r="L18" i="28"/>
  <c r="L20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L35" i="28"/>
  <c r="L36" i="28"/>
  <c r="L37" i="28"/>
  <c r="L38" i="28"/>
  <c r="L39" i="28"/>
  <c r="L40" i="28"/>
  <c r="L41" i="28"/>
  <c r="L4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8" i="28"/>
  <c r="L59" i="28"/>
  <c r="L60" i="28"/>
  <c r="L62" i="28"/>
  <c r="L63" i="28"/>
  <c r="L64" i="28"/>
  <c r="L65" i="28"/>
  <c r="L66" i="28"/>
  <c r="L67" i="28"/>
  <c r="L68" i="28"/>
  <c r="L69" i="28"/>
  <c r="L71" i="28"/>
  <c r="L72" i="28"/>
  <c r="L73" i="28"/>
  <c r="L74" i="28"/>
  <c r="L76" i="28"/>
  <c r="L77" i="28"/>
  <c r="L78" i="28"/>
  <c r="L79" i="28"/>
  <c r="L81" i="28"/>
  <c r="L82" i="28"/>
  <c r="L83" i="28"/>
  <c r="L85" i="28"/>
  <c r="L86" i="28"/>
  <c r="L87" i="28"/>
  <c r="L88" i="28"/>
  <c r="L89" i="28"/>
  <c r="L90" i="28"/>
  <c r="L91" i="28"/>
  <c r="L92" i="28"/>
  <c r="L93" i="28"/>
  <c r="L94" i="28"/>
  <c r="L95" i="28"/>
  <c r="L96" i="28"/>
  <c r="L97" i="28"/>
  <c r="L98" i="28"/>
  <c r="L99" i="28"/>
  <c r="L100" i="28"/>
  <c r="L102" i="28"/>
  <c r="L103" i="28"/>
  <c r="L104" i="28"/>
  <c r="L105" i="28"/>
  <c r="L106" i="28"/>
  <c r="L107" i="28"/>
  <c r="L108" i="28"/>
  <c r="L109" i="28"/>
  <c r="L110" i="28"/>
  <c r="L111" i="28"/>
  <c r="L112" i="28"/>
  <c r="L113" i="28"/>
  <c r="L114" i="28"/>
  <c r="L115" i="28"/>
  <c r="L116" i="28"/>
  <c r="L117" i="28"/>
  <c r="L118" i="28"/>
  <c r="L119" i="28"/>
  <c r="L120" i="28"/>
  <c r="L121" i="28"/>
  <c r="L122" i="28"/>
  <c r="L123" i="28"/>
  <c r="L124" i="28"/>
  <c r="L125" i="28"/>
  <c r="L126" i="28"/>
  <c r="L127" i="28"/>
  <c r="L128" i="28"/>
  <c r="L129" i="28"/>
  <c r="L130" i="28"/>
  <c r="L131" i="28"/>
  <c r="L132" i="28"/>
  <c r="L133" i="28"/>
  <c r="L136" i="28"/>
  <c r="L137" i="28"/>
  <c r="L138" i="28"/>
  <c r="L139" i="28"/>
  <c r="L140" i="28"/>
  <c r="L141" i="28"/>
  <c r="L142" i="28"/>
  <c r="L143" i="28"/>
  <c r="L144" i="28"/>
  <c r="L145" i="28"/>
  <c r="L146" i="28"/>
  <c r="L147" i="28"/>
  <c r="L148" i="28"/>
  <c r="L149" i="28"/>
  <c r="L150" i="28"/>
  <c r="L151" i="28"/>
  <c r="L153" i="28"/>
  <c r="L154" i="28"/>
  <c r="L156" i="28"/>
  <c r="L157" i="28"/>
  <c r="L159" i="28"/>
  <c r="L160" i="28"/>
  <c r="L161" i="28"/>
  <c r="L162" i="28"/>
  <c r="L163" i="28"/>
  <c r="L164" i="28"/>
  <c r="L165" i="28"/>
  <c r="L166" i="28"/>
  <c r="L167" i="28"/>
  <c r="L168" i="28"/>
  <c r="L170" i="28"/>
  <c r="L171" i="28"/>
  <c r="L172" i="28"/>
  <c r="L17" i="27" l="1"/>
  <c r="M17" i="27" s="1"/>
  <c r="L159" i="27"/>
  <c r="M159" i="27" s="1"/>
  <c r="L152" i="27"/>
  <c r="M152" i="27" s="1"/>
  <c r="L25" i="27"/>
  <c r="M25" i="27" s="1"/>
  <c r="L163" i="27"/>
  <c r="M163" i="27" s="1"/>
  <c r="V13" i="11" l="1"/>
  <c r="L158" i="27" l="1"/>
  <c r="M158" i="27" s="1"/>
  <c r="L114" i="27"/>
  <c r="M114" i="27" s="1"/>
  <c r="L172" i="27"/>
  <c r="M172" i="27" s="1"/>
  <c r="L151" i="27"/>
  <c r="M151" i="27" s="1"/>
  <c r="L135" i="27" l="1"/>
  <c r="M135" i="27" s="1"/>
  <c r="L108" i="27" l="1"/>
  <c r="M108" i="27" s="1"/>
  <c r="L61" i="27" l="1"/>
  <c r="M61" i="27" s="1"/>
  <c r="L174" i="27" l="1"/>
  <c r="M174" i="27" s="1"/>
  <c r="L173" i="27"/>
  <c r="M173" i="27" s="1"/>
  <c r="L171" i="27"/>
  <c r="M171" i="27" s="1"/>
  <c r="L170" i="27"/>
  <c r="M170" i="27" s="1"/>
  <c r="L169" i="27"/>
  <c r="M169" i="27" s="1"/>
  <c r="L35" i="19" l="1"/>
  <c r="M35" i="19" s="1"/>
  <c r="L153" i="29"/>
  <c r="L158" i="29"/>
  <c r="L76" i="19" l="1"/>
  <c r="M76" i="19" s="1"/>
  <c r="L156" i="29" l="1"/>
  <c r="L24" i="29"/>
  <c r="L23" i="27"/>
  <c r="M23" i="27" s="1"/>
  <c r="L125" i="19"/>
  <c r="M125" i="19" s="1"/>
  <c r="L56" i="19"/>
  <c r="M56" i="19" s="1"/>
  <c r="L129" i="19" l="1"/>
  <c r="M129" i="19" s="1"/>
  <c r="L47" i="19" l="1"/>
  <c r="M47" i="19" s="1"/>
  <c r="L58" i="19" l="1"/>
  <c r="M58" i="19" s="1"/>
  <c r="L27" i="19" l="1"/>
  <c r="M27" i="19" s="1"/>
  <c r="L94" i="19" l="1"/>
  <c r="M94" i="19" s="1"/>
  <c r="L70" i="19" l="1"/>
  <c r="M70" i="19" s="1"/>
  <c r="L71" i="19" l="1"/>
  <c r="M71" i="19" s="1"/>
  <c r="L86" i="19" l="1"/>
  <c r="M86" i="19" s="1"/>
  <c r="L133" i="19" l="1"/>
  <c r="M133" i="19" s="1"/>
  <c r="L103" i="19"/>
  <c r="M103" i="19" s="1"/>
  <c r="L104" i="19"/>
  <c r="M104" i="19" s="1"/>
  <c r="L105" i="19"/>
  <c r="M105" i="19" s="1"/>
  <c r="L106" i="19"/>
  <c r="M106" i="19" s="1"/>
  <c r="L107" i="19"/>
  <c r="M107" i="19" s="1"/>
  <c r="L108" i="19"/>
  <c r="M108" i="19" s="1"/>
  <c r="L109" i="19"/>
  <c r="M109" i="19" s="1"/>
  <c r="L110" i="19"/>
  <c r="M110" i="19" s="1"/>
  <c r="L111" i="19"/>
  <c r="M111" i="19" s="1"/>
  <c r="L112" i="19"/>
  <c r="M112" i="19" s="1"/>
  <c r="L113" i="19"/>
  <c r="M113" i="19" s="1"/>
  <c r="L114" i="19"/>
  <c r="M114" i="19" s="1"/>
  <c r="L115" i="19"/>
  <c r="M115" i="19" s="1"/>
  <c r="L116" i="19"/>
  <c r="M116" i="19" s="1"/>
  <c r="L117" i="19"/>
  <c r="M117" i="19" s="1"/>
  <c r="L118" i="19"/>
  <c r="M118" i="19" s="1"/>
  <c r="L119" i="19"/>
  <c r="M119" i="19" s="1"/>
  <c r="L120" i="19"/>
  <c r="M120" i="19" s="1"/>
  <c r="L121" i="19"/>
  <c r="M121" i="19" s="1"/>
  <c r="L122" i="19"/>
  <c r="M122" i="19" s="1"/>
  <c r="L123" i="19"/>
  <c r="M123" i="19" s="1"/>
  <c r="L124" i="19"/>
  <c r="M124" i="19" s="1"/>
  <c r="L126" i="19"/>
  <c r="M126" i="19" s="1"/>
  <c r="L127" i="19"/>
  <c r="M127" i="19" s="1"/>
  <c r="L128" i="19"/>
  <c r="M128" i="19" s="1"/>
  <c r="L130" i="19"/>
  <c r="M130" i="19" s="1"/>
  <c r="L131" i="19"/>
  <c r="M131" i="19" s="1"/>
  <c r="L132" i="19"/>
  <c r="M132" i="19" s="1"/>
  <c r="L161" i="29"/>
  <c r="L151" i="29"/>
  <c r="L96" i="29"/>
  <c r="L81" i="29"/>
  <c r="L74" i="29"/>
  <c r="L60" i="29"/>
  <c r="L95" i="29"/>
  <c r="L105" i="29"/>
  <c r="L46" i="29"/>
  <c r="L42" i="29"/>
  <c r="L63" i="29"/>
  <c r="L33" i="29"/>
  <c r="L29" i="29"/>
  <c r="L115" i="29"/>
  <c r="L89" i="29"/>
  <c r="L5" i="29"/>
  <c r="L145" i="29"/>
  <c r="L133" i="29"/>
  <c r="L130" i="29"/>
  <c r="L128" i="29"/>
  <c r="L57" i="29"/>
  <c r="L49" i="29"/>
  <c r="L51" i="29"/>
  <c r="L38" i="29"/>
  <c r="L79" i="29"/>
  <c r="L73" i="29"/>
  <c r="L149" i="29"/>
  <c r="L9" i="29"/>
  <c r="L168" i="27"/>
  <c r="M168" i="27" s="1"/>
  <c r="L167" i="27"/>
  <c r="M167" i="27" s="1"/>
  <c r="L172" i="29"/>
  <c r="L56" i="29"/>
  <c r="L76" i="29"/>
  <c r="L7" i="29"/>
  <c r="L4" i="29"/>
  <c r="L78" i="29"/>
  <c r="L72" i="29"/>
  <c r="L70" i="29"/>
  <c r="L119" i="29"/>
  <c r="L168" i="29"/>
  <c r="L165" i="27" l="1"/>
  <c r="M165" i="27" s="1"/>
  <c r="L60" i="27"/>
  <c r="M60" i="27" s="1"/>
  <c r="L141" i="27"/>
  <c r="M141" i="27" s="1"/>
  <c r="L58" i="27"/>
  <c r="M58" i="27" s="1"/>
  <c r="L72" i="27"/>
  <c r="M72" i="27" s="1"/>
  <c r="L53" i="27"/>
  <c r="M53" i="27" s="1"/>
  <c r="L45" i="27"/>
  <c r="M45" i="27" s="1"/>
  <c r="L111" i="27"/>
  <c r="M111" i="27" s="1"/>
  <c r="L127" i="27"/>
  <c r="M127" i="27" s="1"/>
  <c r="L121" i="27"/>
  <c r="M121" i="27" s="1"/>
  <c r="L147" i="27"/>
  <c r="M147" i="27" s="1"/>
  <c r="L106" i="27"/>
  <c r="M106" i="27" s="1"/>
  <c r="L42" i="27"/>
  <c r="M42" i="27" s="1"/>
  <c r="L56" i="27"/>
  <c r="M56" i="27" s="1"/>
  <c r="L13" i="27"/>
  <c r="M13" i="27" s="1"/>
  <c r="L94" i="27"/>
  <c r="M94" i="27" s="1"/>
  <c r="L144" i="27"/>
  <c r="M144" i="27" s="1"/>
  <c r="L126" i="27"/>
  <c r="M126" i="27" s="1"/>
  <c r="L31" i="27"/>
  <c r="M31" i="27" s="1"/>
  <c r="L160" i="27"/>
  <c r="M160" i="27" s="1"/>
  <c r="L150" i="27"/>
  <c r="M150" i="27" s="1"/>
  <c r="L164" i="27"/>
  <c r="M164" i="27" s="1"/>
  <c r="L157" i="27"/>
  <c r="M157" i="27" s="1"/>
  <c r="L154" i="27"/>
  <c r="M154" i="27" s="1"/>
  <c r="L156" i="27"/>
  <c r="M156" i="27" s="1"/>
  <c r="L161" i="27"/>
  <c r="M161" i="27" s="1"/>
  <c r="L166" i="27"/>
  <c r="M166" i="27" s="1"/>
  <c r="L153" i="27"/>
  <c r="M153" i="27" s="1"/>
  <c r="L162" i="27"/>
  <c r="M162" i="27" s="1"/>
  <c r="L109" i="24"/>
  <c r="L108" i="32"/>
  <c r="M108" i="32" s="1"/>
  <c r="L107" i="32"/>
  <c r="M107" i="32" s="1"/>
  <c r="L106" i="32"/>
  <c r="M106" i="32" s="1"/>
  <c r="L105" i="32"/>
  <c r="M105" i="32" s="1"/>
  <c r="L104" i="32"/>
  <c r="M104" i="32" s="1"/>
  <c r="L103" i="32"/>
  <c r="M103" i="32" s="1"/>
  <c r="L102" i="32"/>
  <c r="M102" i="32" s="1"/>
  <c r="L101" i="32"/>
  <c r="M101" i="32" s="1"/>
  <c r="L100" i="32"/>
  <c r="M100" i="32" s="1"/>
  <c r="L99" i="32"/>
  <c r="M99" i="32" s="1"/>
  <c r="L98" i="32"/>
  <c r="M98" i="32" s="1"/>
  <c r="L97" i="32"/>
  <c r="M97" i="32" s="1"/>
  <c r="L96" i="32"/>
  <c r="M96" i="32" s="1"/>
  <c r="L95" i="32"/>
  <c r="M95" i="32" s="1"/>
  <c r="L94" i="32"/>
  <c r="M94" i="32" s="1"/>
  <c r="L93" i="32"/>
  <c r="M93" i="32" s="1"/>
  <c r="L92" i="32"/>
  <c r="M92" i="32" s="1"/>
  <c r="L91" i="32"/>
  <c r="M91" i="32" s="1"/>
  <c r="L90" i="32"/>
  <c r="M90" i="32" s="1"/>
  <c r="L89" i="32"/>
  <c r="M89" i="32" s="1"/>
  <c r="L88" i="32"/>
  <c r="M88" i="32" s="1"/>
  <c r="L87" i="32"/>
  <c r="M87" i="32" s="1"/>
  <c r="L86" i="32"/>
  <c r="M86" i="32" s="1"/>
  <c r="L85" i="32"/>
  <c r="M85" i="32" s="1"/>
  <c r="L84" i="32"/>
  <c r="M84" i="32" s="1"/>
  <c r="L83" i="32"/>
  <c r="M83" i="32" s="1"/>
  <c r="L82" i="32"/>
  <c r="M82" i="32" s="1"/>
  <c r="L81" i="32"/>
  <c r="M81" i="32" s="1"/>
  <c r="L80" i="32"/>
  <c r="M80" i="32" s="1"/>
  <c r="L79" i="32"/>
  <c r="M79" i="32" s="1"/>
  <c r="L78" i="32"/>
  <c r="M78" i="32" s="1"/>
  <c r="L77" i="32"/>
  <c r="M77" i="32" s="1"/>
  <c r="L76" i="32"/>
  <c r="M76" i="32" s="1"/>
  <c r="L75" i="32"/>
  <c r="M75" i="32" s="1"/>
  <c r="L74" i="32"/>
  <c r="M74" i="32" s="1"/>
  <c r="L73" i="32"/>
  <c r="M73" i="32" s="1"/>
  <c r="L72" i="32"/>
  <c r="M72" i="32" s="1"/>
  <c r="L71" i="32"/>
  <c r="M71" i="32" s="1"/>
  <c r="L70" i="32"/>
  <c r="M70" i="32" s="1"/>
  <c r="L69" i="32"/>
  <c r="M69" i="32" s="1"/>
  <c r="L68" i="32"/>
  <c r="M68" i="32" s="1"/>
  <c r="L67" i="32"/>
  <c r="M67" i="32" s="1"/>
  <c r="L66" i="32"/>
  <c r="M66" i="32" s="1"/>
  <c r="L65" i="32"/>
  <c r="M65" i="32" s="1"/>
  <c r="L64" i="32"/>
  <c r="M64" i="32" s="1"/>
  <c r="L63" i="32"/>
  <c r="M63" i="32" s="1"/>
  <c r="L62" i="32"/>
  <c r="M62" i="32" s="1"/>
  <c r="L61" i="32"/>
  <c r="M61" i="32" s="1"/>
  <c r="L60" i="32"/>
  <c r="M60" i="32" s="1"/>
  <c r="L59" i="32"/>
  <c r="M59" i="32" s="1"/>
  <c r="L58" i="32"/>
  <c r="M58" i="32" s="1"/>
  <c r="L57" i="32"/>
  <c r="M57" i="32" s="1"/>
  <c r="L56" i="32"/>
  <c r="M56" i="32" s="1"/>
  <c r="L55" i="32"/>
  <c r="M55" i="32" s="1"/>
  <c r="L54" i="32"/>
  <c r="M54" i="32" s="1"/>
  <c r="L53" i="32"/>
  <c r="M53" i="32" s="1"/>
  <c r="L52" i="32"/>
  <c r="M52" i="32" s="1"/>
  <c r="L51" i="32"/>
  <c r="M51" i="32" s="1"/>
  <c r="L50" i="32"/>
  <c r="M50" i="32" s="1"/>
  <c r="L49" i="32"/>
  <c r="M49" i="32" s="1"/>
  <c r="L48" i="32"/>
  <c r="M48" i="32" s="1"/>
  <c r="L47" i="32"/>
  <c r="M47" i="32" s="1"/>
  <c r="L46" i="32"/>
  <c r="M46" i="32" s="1"/>
  <c r="L45" i="32"/>
  <c r="M45" i="32" s="1"/>
  <c r="L44" i="32"/>
  <c r="M44" i="32" s="1"/>
  <c r="L43" i="32"/>
  <c r="M43" i="32" s="1"/>
  <c r="L42" i="32"/>
  <c r="M42" i="32" s="1"/>
  <c r="L41" i="32"/>
  <c r="M41" i="32" s="1"/>
  <c r="L40" i="32"/>
  <c r="M40" i="32" s="1"/>
  <c r="L39" i="32"/>
  <c r="M39" i="32" s="1"/>
  <c r="L38" i="32"/>
  <c r="M38" i="32" s="1"/>
  <c r="L37" i="32"/>
  <c r="M37" i="32" s="1"/>
  <c r="L36" i="32"/>
  <c r="M36" i="32" s="1"/>
  <c r="L35" i="32"/>
  <c r="M35" i="32" s="1"/>
  <c r="L34" i="32"/>
  <c r="M34" i="32" s="1"/>
  <c r="L33" i="32"/>
  <c r="M33" i="32" s="1"/>
  <c r="L32" i="32"/>
  <c r="M32" i="32" s="1"/>
  <c r="L31" i="32"/>
  <c r="M31" i="32" s="1"/>
  <c r="L30" i="32"/>
  <c r="M30" i="32" s="1"/>
  <c r="L29" i="32"/>
  <c r="M29" i="32" s="1"/>
  <c r="L28" i="32"/>
  <c r="M28" i="32" s="1"/>
  <c r="L27" i="32"/>
  <c r="M27" i="32" s="1"/>
  <c r="L26" i="32"/>
  <c r="M26" i="32" s="1"/>
  <c r="L25" i="32"/>
  <c r="M25" i="32" s="1"/>
  <c r="L24" i="32"/>
  <c r="M24" i="32" s="1"/>
  <c r="L23" i="32"/>
  <c r="M23" i="32" s="1"/>
  <c r="L22" i="32"/>
  <c r="M22" i="32" s="1"/>
  <c r="L21" i="32"/>
  <c r="M21" i="32" s="1"/>
  <c r="L20" i="32"/>
  <c r="M20" i="32" s="1"/>
  <c r="L19" i="32"/>
  <c r="M19" i="32" s="1"/>
  <c r="L18" i="32"/>
  <c r="M18" i="32" s="1"/>
  <c r="L17" i="32"/>
  <c r="M17" i="32" s="1"/>
  <c r="L16" i="32"/>
  <c r="M16" i="32" s="1"/>
  <c r="L15" i="32"/>
  <c r="M15" i="32" s="1"/>
  <c r="L14" i="32"/>
  <c r="M14" i="32" s="1"/>
  <c r="L13" i="32"/>
  <c r="M13" i="32" s="1"/>
  <c r="L12" i="32"/>
  <c r="M12" i="32" s="1"/>
  <c r="L11" i="32"/>
  <c r="M11" i="32" s="1"/>
  <c r="L10" i="32"/>
  <c r="M10" i="32" s="1"/>
  <c r="L9" i="32"/>
  <c r="M9" i="32" s="1"/>
  <c r="L8" i="32"/>
  <c r="M8" i="32" s="1"/>
  <c r="L7" i="32"/>
  <c r="M7" i="32" s="1"/>
  <c r="L6" i="32"/>
  <c r="M6" i="32" s="1"/>
  <c r="L5" i="32"/>
  <c r="M5" i="32" s="1"/>
  <c r="L4" i="32"/>
  <c r="M4" i="32" s="1"/>
  <c r="L3" i="32"/>
  <c r="M3" i="32" l="1"/>
  <c r="L108" i="31"/>
  <c r="M108" i="31" s="1"/>
  <c r="L107" i="31"/>
  <c r="M107" i="31" s="1"/>
  <c r="L106" i="31"/>
  <c r="M106" i="31" s="1"/>
  <c r="L105" i="31"/>
  <c r="M105" i="31" s="1"/>
  <c r="L104" i="31"/>
  <c r="M104" i="31" s="1"/>
  <c r="L103" i="31"/>
  <c r="M103" i="31" s="1"/>
  <c r="L102" i="31"/>
  <c r="M102" i="31" s="1"/>
  <c r="L101" i="31"/>
  <c r="M101" i="31" s="1"/>
  <c r="L100" i="31"/>
  <c r="M100" i="31" s="1"/>
  <c r="L99" i="31"/>
  <c r="M99" i="31" s="1"/>
  <c r="L98" i="31"/>
  <c r="M98" i="31" s="1"/>
  <c r="L97" i="31"/>
  <c r="M97" i="31" s="1"/>
  <c r="L96" i="31"/>
  <c r="M96" i="31" s="1"/>
  <c r="L95" i="31"/>
  <c r="M95" i="31" s="1"/>
  <c r="L94" i="31"/>
  <c r="M94" i="31" s="1"/>
  <c r="L93" i="31"/>
  <c r="M93" i="31" s="1"/>
  <c r="L92" i="31"/>
  <c r="M92" i="31" s="1"/>
  <c r="L91" i="31"/>
  <c r="M91" i="31" s="1"/>
  <c r="L90" i="31"/>
  <c r="M90" i="31" s="1"/>
  <c r="L89" i="31"/>
  <c r="M89" i="31" s="1"/>
  <c r="L88" i="31"/>
  <c r="M88" i="31" s="1"/>
  <c r="L87" i="31"/>
  <c r="M87" i="31" s="1"/>
  <c r="L86" i="31"/>
  <c r="M86" i="31" s="1"/>
  <c r="L85" i="31"/>
  <c r="M85" i="31" s="1"/>
  <c r="L84" i="31"/>
  <c r="M84" i="31" s="1"/>
  <c r="L83" i="31"/>
  <c r="M83" i="31" s="1"/>
  <c r="L82" i="31"/>
  <c r="M82" i="31" s="1"/>
  <c r="L81" i="31"/>
  <c r="M81" i="31" s="1"/>
  <c r="L80" i="31"/>
  <c r="M80" i="31" s="1"/>
  <c r="L79" i="31"/>
  <c r="M79" i="31" s="1"/>
  <c r="L78" i="31"/>
  <c r="M78" i="31" s="1"/>
  <c r="L77" i="31"/>
  <c r="M77" i="31" s="1"/>
  <c r="L76" i="31"/>
  <c r="M76" i="31" s="1"/>
  <c r="L75" i="31"/>
  <c r="M75" i="31" s="1"/>
  <c r="L74" i="31"/>
  <c r="M74" i="31" s="1"/>
  <c r="L73" i="31"/>
  <c r="M73" i="31" s="1"/>
  <c r="L72" i="31"/>
  <c r="M72" i="31" s="1"/>
  <c r="L71" i="31"/>
  <c r="M71" i="31" s="1"/>
  <c r="L70" i="31"/>
  <c r="M70" i="31" s="1"/>
  <c r="L69" i="31"/>
  <c r="M69" i="31" s="1"/>
  <c r="L68" i="31"/>
  <c r="M68" i="31" s="1"/>
  <c r="L67" i="31"/>
  <c r="M67" i="31" s="1"/>
  <c r="L66" i="31"/>
  <c r="M66" i="31" s="1"/>
  <c r="L65" i="31"/>
  <c r="M65" i="31" s="1"/>
  <c r="L64" i="31"/>
  <c r="M64" i="31" s="1"/>
  <c r="L63" i="31"/>
  <c r="M63" i="31" s="1"/>
  <c r="L62" i="31"/>
  <c r="M62" i="31" s="1"/>
  <c r="L61" i="31"/>
  <c r="M61" i="31" s="1"/>
  <c r="L60" i="31"/>
  <c r="M60" i="31" s="1"/>
  <c r="L59" i="31"/>
  <c r="M59" i="31" s="1"/>
  <c r="L58" i="31"/>
  <c r="M58" i="31" s="1"/>
  <c r="L57" i="31"/>
  <c r="M57" i="31" s="1"/>
  <c r="L56" i="31"/>
  <c r="M56" i="31" s="1"/>
  <c r="L55" i="31"/>
  <c r="M55" i="31" s="1"/>
  <c r="L54" i="31"/>
  <c r="M54" i="31" s="1"/>
  <c r="L53" i="31"/>
  <c r="M53" i="31" s="1"/>
  <c r="L52" i="31"/>
  <c r="M52" i="31" s="1"/>
  <c r="L51" i="31"/>
  <c r="M51" i="31" s="1"/>
  <c r="L50" i="31"/>
  <c r="M50" i="31" s="1"/>
  <c r="L49" i="31"/>
  <c r="M49" i="31" s="1"/>
  <c r="L48" i="31"/>
  <c r="M48" i="31" s="1"/>
  <c r="L47" i="31"/>
  <c r="M47" i="31" s="1"/>
  <c r="L46" i="31"/>
  <c r="M46" i="31" s="1"/>
  <c r="L45" i="31"/>
  <c r="M45" i="31" s="1"/>
  <c r="L44" i="31"/>
  <c r="M44" i="31" s="1"/>
  <c r="L43" i="31"/>
  <c r="M43" i="31" s="1"/>
  <c r="L42" i="31"/>
  <c r="M42" i="31" s="1"/>
  <c r="L41" i="31"/>
  <c r="M41" i="31" s="1"/>
  <c r="L40" i="31"/>
  <c r="M40" i="31" s="1"/>
  <c r="L39" i="31"/>
  <c r="M39" i="31" s="1"/>
  <c r="L38" i="31"/>
  <c r="M38" i="31" s="1"/>
  <c r="L37" i="31"/>
  <c r="M37" i="31" s="1"/>
  <c r="L36" i="31"/>
  <c r="M36" i="31" s="1"/>
  <c r="L35" i="31"/>
  <c r="M35" i="31" s="1"/>
  <c r="L34" i="31"/>
  <c r="M34" i="31" s="1"/>
  <c r="L33" i="31"/>
  <c r="M33" i="31" s="1"/>
  <c r="L32" i="31"/>
  <c r="M32" i="31" s="1"/>
  <c r="L31" i="31"/>
  <c r="M31" i="31" s="1"/>
  <c r="L30" i="31"/>
  <c r="M30" i="31" s="1"/>
  <c r="L29" i="31"/>
  <c r="M29" i="31" s="1"/>
  <c r="L28" i="31"/>
  <c r="M28" i="31" s="1"/>
  <c r="L27" i="31"/>
  <c r="M27" i="31" s="1"/>
  <c r="L26" i="31"/>
  <c r="M26" i="31" s="1"/>
  <c r="L25" i="31"/>
  <c r="M25" i="31" s="1"/>
  <c r="L24" i="31"/>
  <c r="M24" i="31" s="1"/>
  <c r="L23" i="31"/>
  <c r="M23" i="31" s="1"/>
  <c r="L22" i="31"/>
  <c r="M22" i="31" s="1"/>
  <c r="L21" i="31"/>
  <c r="M21" i="31" s="1"/>
  <c r="L20" i="31"/>
  <c r="M20" i="31" s="1"/>
  <c r="L19" i="31"/>
  <c r="M19" i="31" s="1"/>
  <c r="L18" i="31"/>
  <c r="M18" i="31" s="1"/>
  <c r="L17" i="31"/>
  <c r="M17" i="31" s="1"/>
  <c r="L16" i="31"/>
  <c r="M16" i="31" s="1"/>
  <c r="L15" i="31"/>
  <c r="M15" i="31" s="1"/>
  <c r="L14" i="31"/>
  <c r="M14" i="31" s="1"/>
  <c r="L13" i="31"/>
  <c r="M13" i="31" s="1"/>
  <c r="L12" i="31"/>
  <c r="M12" i="31" s="1"/>
  <c r="L11" i="31"/>
  <c r="M11" i="31" s="1"/>
  <c r="L10" i="31"/>
  <c r="M10" i="31" s="1"/>
  <c r="L9" i="31"/>
  <c r="M9" i="31" s="1"/>
  <c r="L8" i="31"/>
  <c r="M8" i="31" s="1"/>
  <c r="L7" i="31"/>
  <c r="M7" i="31" s="1"/>
  <c r="L6" i="31"/>
  <c r="M6" i="31" s="1"/>
  <c r="L5" i="31"/>
  <c r="M5" i="31" s="1"/>
  <c r="L4" i="31"/>
  <c r="M4" i="31" s="1"/>
  <c r="L3" i="31"/>
  <c r="M3" i="31" s="1"/>
  <c r="L131" i="24"/>
  <c r="L89" i="16"/>
  <c r="L87" i="16"/>
  <c r="L93" i="19" l="1"/>
  <c r="M93" i="19" s="1"/>
  <c r="L85" i="19"/>
  <c r="M85" i="19" s="1"/>
  <c r="L88" i="19"/>
  <c r="M88" i="19" s="1"/>
  <c r="L95" i="19"/>
  <c r="M95" i="19" s="1"/>
  <c r="J31" i="11"/>
  <c r="I31" i="11"/>
  <c r="J30" i="11"/>
  <c r="I30" i="11"/>
  <c r="J29" i="11"/>
  <c r="I29" i="11"/>
  <c r="J28" i="11"/>
  <c r="I28" i="11"/>
  <c r="J27" i="11"/>
  <c r="I27" i="11"/>
  <c r="J26" i="11"/>
  <c r="I26" i="11"/>
  <c r="J25" i="11"/>
  <c r="I25" i="11"/>
  <c r="J24" i="11"/>
  <c r="I24" i="11"/>
  <c r="J23" i="11"/>
  <c r="I23" i="11"/>
  <c r="J22" i="11"/>
  <c r="I22" i="11"/>
  <c r="J21" i="11"/>
  <c r="I21" i="11"/>
  <c r="J20" i="11"/>
  <c r="I20" i="11"/>
  <c r="J19" i="11"/>
  <c r="I19" i="11"/>
  <c r="P31" i="11"/>
  <c r="O31" i="11"/>
  <c r="P30" i="11"/>
  <c r="O30" i="11"/>
  <c r="P29" i="11"/>
  <c r="O29" i="11"/>
  <c r="P28" i="11"/>
  <c r="O28" i="11"/>
  <c r="P27" i="11"/>
  <c r="O27" i="11"/>
  <c r="P26" i="11"/>
  <c r="O26" i="11"/>
  <c r="P25" i="11"/>
  <c r="O25" i="11"/>
  <c r="P24" i="11"/>
  <c r="O24" i="11"/>
  <c r="P23" i="11"/>
  <c r="O23" i="11"/>
  <c r="P22" i="11"/>
  <c r="O22" i="11"/>
  <c r="P21" i="11"/>
  <c r="O21" i="11"/>
  <c r="P20" i="11"/>
  <c r="O20" i="11"/>
  <c r="P19" i="11"/>
  <c r="O19" i="11"/>
  <c r="L102" i="19"/>
  <c r="L101" i="19"/>
  <c r="L100" i="19"/>
  <c r="L99" i="19"/>
  <c r="L98" i="19"/>
  <c r="L97" i="19"/>
  <c r="L96" i="19"/>
  <c r="L92" i="19"/>
  <c r="L91" i="19"/>
  <c r="L90" i="19"/>
  <c r="L89" i="19"/>
  <c r="L87" i="19"/>
  <c r="L84" i="19"/>
  <c r="L83" i="19"/>
  <c r="L82" i="19"/>
  <c r="L81" i="19"/>
  <c r="L80" i="19"/>
  <c r="L79" i="19"/>
  <c r="L78" i="19"/>
  <c r="L77" i="19"/>
  <c r="L75" i="19"/>
  <c r="L74" i="19"/>
  <c r="L73" i="19"/>
  <c r="L72" i="19"/>
  <c r="L69" i="19"/>
  <c r="L68" i="19"/>
  <c r="L67" i="19"/>
  <c r="L66" i="19"/>
  <c r="L65" i="19"/>
  <c r="L64" i="19"/>
  <c r="L63" i="19"/>
  <c r="L62" i="19"/>
  <c r="L61" i="19"/>
  <c r="L60" i="19"/>
  <c r="L59" i="19"/>
  <c r="L57" i="19"/>
  <c r="L55" i="19"/>
  <c r="L54" i="19"/>
  <c r="L53" i="19"/>
  <c r="L52" i="19"/>
  <c r="L51" i="19"/>
  <c r="L50" i="19"/>
  <c r="L49" i="19"/>
  <c r="L48" i="19"/>
  <c r="L46" i="19"/>
  <c r="L45" i="19"/>
  <c r="L44" i="19"/>
  <c r="L43" i="19"/>
  <c r="L42" i="19"/>
  <c r="L41" i="19"/>
  <c r="L40" i="19"/>
  <c r="L39" i="19"/>
  <c r="L38" i="19"/>
  <c r="L37" i="19"/>
  <c r="L36" i="19"/>
  <c r="L34" i="19"/>
  <c r="L33" i="19"/>
  <c r="L32" i="19"/>
  <c r="L31" i="19"/>
  <c r="L30" i="19"/>
  <c r="L29" i="19"/>
  <c r="L28" i="19"/>
  <c r="M28" i="19" s="1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13" i="19"/>
  <c r="L12" i="19"/>
  <c r="M12" i="19" s="1"/>
  <c r="L11" i="19"/>
  <c r="L10" i="19"/>
  <c r="L9" i="19"/>
  <c r="L8" i="19"/>
  <c r="L7" i="19"/>
  <c r="L6" i="19"/>
  <c r="L5" i="19"/>
  <c r="M5" i="19" s="1"/>
  <c r="L4" i="19"/>
  <c r="L3" i="19"/>
  <c r="M16" i="19"/>
  <c r="M13" i="19"/>
  <c r="L93" i="16"/>
  <c r="L91" i="16"/>
  <c r="L85" i="16"/>
  <c r="M3" i="19" l="1"/>
  <c r="M4" i="19"/>
  <c r="M6" i="19"/>
  <c r="M7" i="19"/>
  <c r="M8" i="19"/>
  <c r="M9" i="19"/>
  <c r="M10" i="19"/>
  <c r="M11" i="19"/>
  <c r="M14" i="19"/>
  <c r="M15" i="19"/>
  <c r="M17" i="19"/>
  <c r="M18" i="19"/>
  <c r="M19" i="19"/>
  <c r="M20" i="19"/>
  <c r="M21" i="19"/>
  <c r="M22" i="19"/>
  <c r="M23" i="19"/>
  <c r="M24" i="19"/>
  <c r="M25" i="19"/>
  <c r="M26" i="19"/>
  <c r="M29" i="19"/>
  <c r="M30" i="19"/>
  <c r="M31" i="19"/>
  <c r="M32" i="19"/>
  <c r="M33" i="19"/>
  <c r="M34" i="19"/>
  <c r="M36" i="19"/>
  <c r="M37" i="19"/>
  <c r="M38" i="19"/>
  <c r="M39" i="19"/>
  <c r="M40" i="19"/>
  <c r="M41" i="19"/>
  <c r="M42" i="19"/>
  <c r="M43" i="19"/>
  <c r="M44" i="19"/>
  <c r="M45" i="19"/>
  <c r="M46" i="19"/>
  <c r="M48" i="19"/>
  <c r="M49" i="19"/>
  <c r="M50" i="19"/>
  <c r="M51" i="19"/>
  <c r="M52" i="19"/>
  <c r="M53" i="19"/>
  <c r="M54" i="19"/>
  <c r="M55" i="19"/>
  <c r="M57" i="19"/>
  <c r="M59" i="19"/>
  <c r="M60" i="19"/>
  <c r="M61" i="19"/>
  <c r="M62" i="19"/>
  <c r="M63" i="19"/>
  <c r="M64" i="19"/>
  <c r="M65" i="19"/>
  <c r="M66" i="19"/>
  <c r="M67" i="19"/>
  <c r="M68" i="19"/>
  <c r="M69" i="19"/>
  <c r="M72" i="19"/>
  <c r="M73" i="19"/>
  <c r="M74" i="19"/>
  <c r="M75" i="19"/>
  <c r="M77" i="19"/>
  <c r="M78" i="19"/>
  <c r="M79" i="19"/>
  <c r="M80" i="19"/>
  <c r="M81" i="19"/>
  <c r="M82" i="19"/>
  <c r="M83" i="19"/>
  <c r="M84" i="19"/>
  <c r="M87" i="19"/>
  <c r="M89" i="19"/>
  <c r="M90" i="19"/>
  <c r="M91" i="19"/>
  <c r="M92" i="19"/>
  <c r="M96" i="19"/>
  <c r="M97" i="19"/>
  <c r="M98" i="19"/>
  <c r="M99" i="19"/>
  <c r="M100" i="19"/>
  <c r="M101" i="19"/>
  <c r="M102" i="19"/>
  <c r="L81" i="16"/>
  <c r="L79" i="16"/>
  <c r="L77" i="16"/>
  <c r="L72" i="16" l="1"/>
  <c r="L67" i="16" l="1"/>
  <c r="L59" i="16" l="1"/>
  <c r="L47" i="16" l="1"/>
  <c r="L18" i="16" l="1"/>
  <c r="L11" i="16"/>
  <c r="L53" i="24" l="1"/>
  <c r="L36" i="16"/>
  <c r="L33" i="16" l="1"/>
  <c r="L28" i="16" l="1"/>
  <c r="L14" i="16" l="1"/>
  <c r="L84" i="24"/>
  <c r="L130" i="24"/>
  <c r="L96" i="16"/>
  <c r="L108" i="16" l="1"/>
  <c r="L128" i="16"/>
  <c r="L120" i="16" l="1"/>
  <c r="L115" i="16"/>
  <c r="L111" i="16" l="1"/>
  <c r="L102" i="16" l="1"/>
  <c r="L99" i="16"/>
  <c r="L101" i="16"/>
  <c r="L34" i="24" l="1"/>
  <c r="L13" i="24"/>
  <c r="L95" i="24"/>
  <c r="L86" i="24"/>
  <c r="L59" i="24"/>
  <c r="L111" i="24"/>
  <c r="L105" i="24"/>
  <c r="L171" i="29"/>
  <c r="L130" i="27"/>
  <c r="M130" i="27" s="1"/>
  <c r="D30" i="11"/>
  <c r="C30" i="11"/>
  <c r="L127" i="16"/>
  <c r="L126" i="16"/>
  <c r="L125" i="16"/>
  <c r="L124" i="16"/>
  <c r="L123" i="16"/>
  <c r="L122" i="16"/>
  <c r="L121" i="16"/>
  <c r="L119" i="16"/>
  <c r="L118" i="16"/>
  <c r="L117" i="16"/>
  <c r="L116" i="16"/>
  <c r="L114" i="16"/>
  <c r="L113" i="16"/>
  <c r="L112" i="16"/>
  <c r="L110" i="16"/>
  <c r="L109" i="16"/>
  <c r="L107" i="16"/>
  <c r="L106" i="16"/>
  <c r="L105" i="16"/>
  <c r="L104" i="16"/>
  <c r="L103" i="16"/>
  <c r="L100" i="16"/>
  <c r="L97" i="16"/>
  <c r="L95" i="16"/>
  <c r="L94" i="16"/>
  <c r="L92" i="16"/>
  <c r="L90" i="16"/>
  <c r="L88" i="16"/>
  <c r="L86" i="16"/>
  <c r="L84" i="16"/>
  <c r="L83" i="16"/>
  <c r="L82" i="16"/>
  <c r="L80" i="16"/>
  <c r="L78" i="16"/>
  <c r="L76" i="16"/>
  <c r="L75" i="16"/>
  <c r="L74" i="16"/>
  <c r="L73" i="16"/>
  <c r="L71" i="16"/>
  <c r="L70" i="16"/>
  <c r="L69" i="16"/>
  <c r="L68" i="16"/>
  <c r="L66" i="16"/>
  <c r="L65" i="16"/>
  <c r="L64" i="16"/>
  <c r="L63" i="16"/>
  <c r="L62" i="16"/>
  <c r="L61" i="16"/>
  <c r="L60" i="16"/>
  <c r="L58" i="16"/>
  <c r="L57" i="16"/>
  <c r="L56" i="16"/>
  <c r="L55" i="16"/>
  <c r="L54" i="16"/>
  <c r="L53" i="16"/>
  <c r="L52" i="16"/>
  <c r="L51" i="16"/>
  <c r="L50" i="16"/>
  <c r="L49" i="16"/>
  <c r="L48" i="16"/>
  <c r="L46" i="16"/>
  <c r="L45" i="16"/>
  <c r="L44" i="16"/>
  <c r="L43" i="16"/>
  <c r="L42" i="16"/>
  <c r="L41" i="16"/>
  <c r="L40" i="16"/>
  <c r="L39" i="16"/>
  <c r="L38" i="16"/>
  <c r="L37" i="16"/>
  <c r="L35" i="16"/>
  <c r="L34" i="16"/>
  <c r="L32" i="16"/>
  <c r="L31" i="16"/>
  <c r="L30" i="16"/>
  <c r="L29" i="16"/>
  <c r="L27" i="16"/>
  <c r="L26" i="16"/>
  <c r="L25" i="16"/>
  <c r="L24" i="16"/>
  <c r="L23" i="16"/>
  <c r="L22" i="16"/>
  <c r="L21" i="16"/>
  <c r="L20" i="16"/>
  <c r="L19" i="16"/>
  <c r="L17" i="16"/>
  <c r="L16" i="16"/>
  <c r="L15" i="16"/>
  <c r="L13" i="16"/>
  <c r="L12" i="16"/>
  <c r="L10" i="16"/>
  <c r="L9" i="16"/>
  <c r="L8" i="16"/>
  <c r="L7" i="16"/>
  <c r="L6" i="16"/>
  <c r="L5" i="16"/>
  <c r="L4" i="16"/>
  <c r="L3" i="16"/>
  <c r="L98" i="16" l="1"/>
  <c r="L2" i="16" l="1"/>
  <c r="M87" i="16" l="1"/>
  <c r="M89" i="16"/>
  <c r="M93" i="16"/>
  <c r="M85" i="16"/>
  <c r="M91" i="16"/>
  <c r="M77" i="16"/>
  <c r="M79" i="16"/>
  <c r="M81" i="16"/>
  <c r="M72" i="16"/>
  <c r="M67" i="16"/>
  <c r="M59" i="16"/>
  <c r="M47" i="16"/>
  <c r="M18" i="16"/>
  <c r="M11" i="16"/>
  <c r="M36" i="16"/>
  <c r="M33" i="16"/>
  <c r="M28" i="16"/>
  <c r="M14" i="16"/>
  <c r="M96" i="16"/>
  <c r="M108" i="16"/>
  <c r="M128" i="16"/>
  <c r="M120" i="16"/>
  <c r="M115" i="16"/>
  <c r="M101" i="16"/>
  <c r="M111" i="16"/>
  <c r="M99" i="16"/>
  <c r="M102" i="16"/>
  <c r="M126" i="16"/>
  <c r="M122" i="16"/>
  <c r="M118" i="16"/>
  <c r="M113" i="16"/>
  <c r="M107" i="16"/>
  <c r="M104" i="16"/>
  <c r="M97" i="16"/>
  <c r="M94" i="16"/>
  <c r="M90" i="16"/>
  <c r="M86" i="16"/>
  <c r="M83" i="16"/>
  <c r="M82" i="16"/>
  <c r="M78" i="16"/>
  <c r="M75" i="16"/>
  <c r="M73" i="16"/>
  <c r="M69" i="16"/>
  <c r="M66" i="16"/>
  <c r="M64" i="16"/>
  <c r="M62" i="16"/>
  <c r="M60" i="16"/>
  <c r="M57" i="16"/>
  <c r="M55" i="16"/>
  <c r="M53" i="16"/>
  <c r="M52" i="16"/>
  <c r="M50" i="16"/>
  <c r="M48" i="16"/>
  <c r="M45" i="16"/>
  <c r="M43" i="16"/>
  <c r="M41" i="16"/>
  <c r="M39" i="16"/>
  <c r="M37" i="16"/>
  <c r="M34" i="16"/>
  <c r="M32" i="16"/>
  <c r="M30" i="16"/>
  <c r="M27" i="16"/>
  <c r="M25" i="16"/>
  <c r="M23" i="16"/>
  <c r="M21" i="16"/>
  <c r="M19" i="16"/>
  <c r="M16" i="16"/>
  <c r="M13" i="16"/>
  <c r="M10" i="16"/>
  <c r="M8" i="16"/>
  <c r="M6" i="16"/>
  <c r="M4" i="16"/>
  <c r="M24" i="16"/>
  <c r="M20" i="16"/>
  <c r="M12" i="16"/>
  <c r="M9" i="16"/>
  <c r="M5" i="16"/>
  <c r="M127" i="16"/>
  <c r="M125" i="16"/>
  <c r="M123" i="16"/>
  <c r="M117" i="16"/>
  <c r="M110" i="16"/>
  <c r="M106" i="16"/>
  <c r="M95" i="16"/>
  <c r="M92" i="16"/>
  <c r="M88" i="16"/>
  <c r="M84" i="16"/>
  <c r="M80" i="16"/>
  <c r="M76" i="16"/>
  <c r="M74" i="16"/>
  <c r="M71" i="16"/>
  <c r="M70" i="16"/>
  <c r="M68" i="16"/>
  <c r="M65" i="16"/>
  <c r="M63" i="16"/>
  <c r="M61" i="16"/>
  <c r="M58" i="16"/>
  <c r="M56" i="16"/>
  <c r="M54" i="16"/>
  <c r="M51" i="16"/>
  <c r="M49" i="16"/>
  <c r="M46" i="16"/>
  <c r="M44" i="16"/>
  <c r="M42" i="16"/>
  <c r="M40" i="16"/>
  <c r="M38" i="16"/>
  <c r="M35" i="16"/>
  <c r="M31" i="16"/>
  <c r="M29" i="16"/>
  <c r="M26" i="16"/>
  <c r="M22" i="16"/>
  <c r="M17" i="16"/>
  <c r="M15" i="16"/>
  <c r="M7" i="16"/>
  <c r="M3" i="16"/>
  <c r="M119" i="16"/>
  <c r="M98" i="16"/>
  <c r="M112" i="16"/>
  <c r="M114" i="16"/>
  <c r="M121" i="16"/>
  <c r="M109" i="16"/>
  <c r="M105" i="16"/>
  <c r="M100" i="16"/>
  <c r="M124" i="16"/>
  <c r="M103" i="16"/>
  <c r="M116" i="16"/>
  <c r="L9" i="24"/>
  <c r="L125" i="24" l="1"/>
  <c r="L153" i="24"/>
  <c r="L136" i="24"/>
  <c r="L164" i="24"/>
  <c r="L167" i="24"/>
  <c r="L98" i="24"/>
  <c r="L80" i="24"/>
  <c r="L78" i="24"/>
  <c r="L90" i="24"/>
  <c r="L94" i="24"/>
  <c r="L74" i="24"/>
  <c r="L31" i="24"/>
  <c r="L25" i="24"/>
  <c r="L47" i="24"/>
  <c r="L12" i="24"/>
  <c r="L170" i="24"/>
  <c r="L143" i="24"/>
  <c r="L101" i="24"/>
  <c r="L122" i="24"/>
  <c r="L121" i="24"/>
  <c r="L120" i="24"/>
  <c r="L119" i="24"/>
  <c r="L118" i="24"/>
  <c r="L117" i="24"/>
  <c r="L116" i="24"/>
  <c r="L115" i="24"/>
  <c r="L112" i="24"/>
  <c r="L108" i="24"/>
  <c r="L107" i="24"/>
  <c r="L106" i="24"/>
  <c r="L103" i="24"/>
  <c r="L102" i="24"/>
  <c r="L100" i="24"/>
  <c r="L99" i="24"/>
  <c r="L133" i="24"/>
  <c r="L70" i="24"/>
  <c r="L73" i="24"/>
  <c r="L66" i="24"/>
  <c r="L76" i="24"/>
  <c r="L97" i="24"/>
  <c r="L92" i="24"/>
  <c r="L160" i="24"/>
  <c r="L46" i="24"/>
  <c r="L171" i="24"/>
  <c r="L169" i="24"/>
  <c r="L168" i="24"/>
  <c r="L166" i="24"/>
  <c r="L165" i="24"/>
  <c r="L163" i="24"/>
  <c r="L162" i="24"/>
  <c r="L161" i="24"/>
  <c r="L159" i="24"/>
  <c r="L158" i="24"/>
  <c r="L157" i="24"/>
  <c r="L154" i="24"/>
  <c r="L152" i="24"/>
  <c r="L150" i="24"/>
  <c r="L149" i="24"/>
  <c r="L148" i="24"/>
  <c r="L147" i="24"/>
  <c r="L146" i="24"/>
  <c r="L145" i="24"/>
  <c r="L144" i="24"/>
  <c r="L142" i="24"/>
  <c r="L141" i="24"/>
  <c r="L139" i="24"/>
  <c r="L135" i="24"/>
  <c r="L134" i="24"/>
  <c r="L132" i="24"/>
  <c r="L129" i="24"/>
  <c r="L128" i="24"/>
  <c r="L127" i="24"/>
  <c r="L126" i="24"/>
  <c r="L124" i="24"/>
  <c r="L123" i="24"/>
  <c r="L96" i="24" l="1"/>
  <c r="L93" i="24"/>
  <c r="L91" i="24"/>
  <c r="L89" i="24"/>
  <c r="L88" i="24"/>
  <c r="L87" i="24"/>
  <c r="L85" i="24"/>
  <c r="L83" i="24"/>
  <c r="L82" i="24"/>
  <c r="L81" i="24"/>
  <c r="L79" i="24"/>
  <c r="L77" i="24"/>
  <c r="L75" i="24"/>
  <c r="L72" i="24"/>
  <c r="L71" i="24"/>
  <c r="L69" i="24"/>
  <c r="L68" i="24"/>
  <c r="L67" i="24"/>
  <c r="L65" i="24"/>
  <c r="L64" i="24"/>
  <c r="L63" i="24"/>
  <c r="L62" i="24"/>
  <c r="L61" i="24"/>
  <c r="L60" i="24"/>
  <c r="L58" i="24"/>
  <c r="L57" i="24"/>
  <c r="L56" i="24" l="1"/>
  <c r="L54" i="24"/>
  <c r="L51" i="24"/>
  <c r="L50" i="24"/>
  <c r="L49" i="24"/>
  <c r="L48" i="24"/>
  <c r="L45" i="24"/>
  <c r="L44" i="24"/>
  <c r="L43" i="24"/>
  <c r="L42" i="24"/>
  <c r="L41" i="24"/>
  <c r="L40" i="24"/>
  <c r="L39" i="24"/>
  <c r="L38" i="24"/>
  <c r="L37" i="24"/>
  <c r="L36" i="24"/>
  <c r="L35" i="24"/>
  <c r="L32" i="24"/>
  <c r="L29" i="24"/>
  <c r="L28" i="24"/>
  <c r="L27" i="24"/>
  <c r="L26" i="24"/>
  <c r="L23" i="24"/>
  <c r="L22" i="24"/>
  <c r="L21" i="24"/>
  <c r="L20" i="24"/>
  <c r="L19" i="24"/>
  <c r="L18" i="24"/>
  <c r="L17" i="24"/>
  <c r="L16" i="24"/>
  <c r="L15" i="24"/>
  <c r="L14" i="24"/>
  <c r="L11" i="24"/>
  <c r="L10" i="24"/>
  <c r="L7" i="24"/>
  <c r="L6" i="24"/>
  <c r="L5" i="24"/>
  <c r="L3" i="24"/>
  <c r="L2" i="29" l="1"/>
  <c r="L3" i="29"/>
  <c r="L6" i="29"/>
  <c r="L8" i="29"/>
  <c r="L10" i="29"/>
  <c r="M10" i="29" s="1"/>
  <c r="L11" i="29"/>
  <c r="L12" i="29"/>
  <c r="L13" i="29"/>
  <c r="L14" i="29"/>
  <c r="M14" i="29" s="1"/>
  <c r="L15" i="29"/>
  <c r="L16" i="29"/>
  <c r="L17" i="29"/>
  <c r="L18" i="29"/>
  <c r="M18" i="29" s="1"/>
  <c r="L19" i="29"/>
  <c r="L20" i="29"/>
  <c r="L21" i="29"/>
  <c r="L22" i="29"/>
  <c r="M22" i="29" s="1"/>
  <c r="L23" i="29"/>
  <c r="L27" i="29"/>
  <c r="L28" i="29"/>
  <c r="L30" i="29"/>
  <c r="M30" i="29" s="1"/>
  <c r="L31" i="29"/>
  <c r="L32" i="29"/>
  <c r="L34" i="29"/>
  <c r="L35" i="29"/>
  <c r="M35" i="29" s="1"/>
  <c r="L36" i="29"/>
  <c r="L37" i="29"/>
  <c r="M37" i="29" s="1"/>
  <c r="L39" i="29"/>
  <c r="L40" i="29"/>
  <c r="M40" i="29" s="1"/>
  <c r="L41" i="29"/>
  <c r="L43" i="29"/>
  <c r="M43" i="29" s="1"/>
  <c r="L45" i="29"/>
  <c r="L47" i="29"/>
  <c r="M47" i="29" s="1"/>
  <c r="L48" i="29"/>
  <c r="L50" i="29"/>
  <c r="M50" i="29" s="1"/>
  <c r="L52" i="29"/>
  <c r="L53" i="29"/>
  <c r="M53" i="29" s="1"/>
  <c r="L54" i="29"/>
  <c r="L55" i="29"/>
  <c r="M55" i="29" s="1"/>
  <c r="L58" i="29"/>
  <c r="L59" i="29"/>
  <c r="M59" i="29" s="1"/>
  <c r="L61" i="29"/>
  <c r="L62" i="29"/>
  <c r="M62" i="29" s="1"/>
  <c r="L64" i="29"/>
  <c r="L65" i="29"/>
  <c r="M65" i="29" s="1"/>
  <c r="L66" i="29"/>
  <c r="L67" i="29"/>
  <c r="M67" i="29" s="1"/>
  <c r="L68" i="29"/>
  <c r="L69" i="29"/>
  <c r="M69" i="29" s="1"/>
  <c r="L71" i="29"/>
  <c r="L75" i="29"/>
  <c r="M75" i="29" s="1"/>
  <c r="L77" i="29"/>
  <c r="L80" i="29"/>
  <c r="M80" i="29" s="1"/>
  <c r="L82" i="29"/>
  <c r="L83" i="29"/>
  <c r="M83" i="29" s="1"/>
  <c r="L84" i="29"/>
  <c r="L85" i="29"/>
  <c r="M85" i="29" s="1"/>
  <c r="L86" i="29"/>
  <c r="L87" i="29"/>
  <c r="M87" i="29" s="1"/>
  <c r="L88" i="29"/>
  <c r="L90" i="29"/>
  <c r="M90" i="29" s="1"/>
  <c r="L91" i="29"/>
  <c r="L92" i="29"/>
  <c r="M92" i="29" s="1"/>
  <c r="L93" i="29"/>
  <c r="L94" i="29"/>
  <c r="M94" i="29" s="1"/>
  <c r="L98" i="29"/>
  <c r="L99" i="29"/>
  <c r="M99" i="29" s="1"/>
  <c r="L100" i="29"/>
  <c r="L101" i="29"/>
  <c r="M101" i="29" s="1"/>
  <c r="L103" i="29"/>
  <c r="L104" i="29"/>
  <c r="M104" i="29" s="1"/>
  <c r="L107" i="29"/>
  <c r="L108" i="29"/>
  <c r="M108" i="29" s="1"/>
  <c r="L109" i="29"/>
  <c r="L110" i="29"/>
  <c r="M110" i="29" s="1"/>
  <c r="L111" i="29"/>
  <c r="L112" i="29"/>
  <c r="M112" i="29" s="1"/>
  <c r="L114" i="29"/>
  <c r="L116" i="29"/>
  <c r="M116" i="29" s="1"/>
  <c r="L117" i="29"/>
  <c r="L118" i="29"/>
  <c r="M118" i="29" s="1"/>
  <c r="L121" i="29"/>
  <c r="L122" i="29"/>
  <c r="M122" i="29" s="1"/>
  <c r="L124" i="29"/>
  <c r="L126" i="29"/>
  <c r="M126" i="29" s="1"/>
  <c r="L127" i="29"/>
  <c r="L129" i="29"/>
  <c r="M129" i="29" s="1"/>
  <c r="L132" i="29"/>
  <c r="L135" i="29"/>
  <c r="M135" i="29" s="1"/>
  <c r="L136" i="29"/>
  <c r="L137" i="29"/>
  <c r="M137" i="29" s="1"/>
  <c r="L139" i="29"/>
  <c r="L142" i="29"/>
  <c r="M142" i="29" s="1"/>
  <c r="L143" i="29"/>
  <c r="L144" i="29"/>
  <c r="M144" i="29" s="1"/>
  <c r="L146" i="29"/>
  <c r="L147" i="29"/>
  <c r="L148" i="29"/>
  <c r="M148" i="29" s="1"/>
  <c r="L150" i="29"/>
  <c r="L154" i="29"/>
  <c r="M154" i="29" s="1"/>
  <c r="L155" i="29"/>
  <c r="L157" i="29"/>
  <c r="M157" i="29" s="1"/>
  <c r="L159" i="29"/>
  <c r="L160" i="29"/>
  <c r="M160" i="29" s="1"/>
  <c r="L163" i="29"/>
  <c r="L164" i="29"/>
  <c r="M164" i="29" s="1"/>
  <c r="L166" i="29"/>
  <c r="L167" i="29"/>
  <c r="M167" i="29" s="1"/>
  <c r="L170" i="29"/>
  <c r="L173" i="29"/>
  <c r="M173" i="29" s="1"/>
  <c r="L174" i="29"/>
  <c r="L2" i="28"/>
  <c r="L3" i="28"/>
  <c r="L3" i="27"/>
  <c r="M3" i="27" s="1"/>
  <c r="L4" i="27"/>
  <c r="M4" i="27" s="1"/>
  <c r="L5" i="27"/>
  <c r="M5" i="27" s="1"/>
  <c r="L6" i="27"/>
  <c r="M6" i="27" s="1"/>
  <c r="L7" i="27"/>
  <c r="M7" i="27" s="1"/>
  <c r="L8" i="27"/>
  <c r="M8" i="27" s="1"/>
  <c r="L9" i="27"/>
  <c r="M9" i="27" s="1"/>
  <c r="L10" i="27"/>
  <c r="M10" i="27" s="1"/>
  <c r="L11" i="27"/>
  <c r="M11" i="27" s="1"/>
  <c r="L12" i="27"/>
  <c r="M12" i="27" s="1"/>
  <c r="L143" i="27"/>
  <c r="M143" i="27" s="1"/>
  <c r="L15" i="27"/>
  <c r="M15" i="27" s="1"/>
  <c r="L16" i="27"/>
  <c r="M16" i="27" s="1"/>
  <c r="L18" i="27"/>
  <c r="M18" i="27" s="1"/>
  <c r="L19" i="27"/>
  <c r="M19" i="27" s="1"/>
  <c r="L20" i="27"/>
  <c r="M20" i="27" s="1"/>
  <c r="L21" i="27"/>
  <c r="M21" i="27" s="1"/>
  <c r="L22" i="27"/>
  <c r="M22" i="27" s="1"/>
  <c r="L24" i="27"/>
  <c r="M24" i="27" s="1"/>
  <c r="L26" i="27"/>
  <c r="M26" i="27" s="1"/>
  <c r="L27" i="27"/>
  <c r="M27" i="27" s="1"/>
  <c r="L28" i="27"/>
  <c r="M28" i="27" s="1"/>
  <c r="L29" i="27"/>
  <c r="M29" i="27" s="1"/>
  <c r="L32" i="27"/>
  <c r="M32" i="27" s="1"/>
  <c r="L34" i="27"/>
  <c r="M34" i="27" s="1"/>
  <c r="L35" i="27"/>
  <c r="M35" i="27" s="1"/>
  <c r="L36" i="27"/>
  <c r="M36" i="27" s="1"/>
  <c r="L37" i="27"/>
  <c r="M37" i="27" s="1"/>
  <c r="L38" i="27"/>
  <c r="M38" i="27" s="1"/>
  <c r="L39" i="27"/>
  <c r="M39" i="27" s="1"/>
  <c r="L40" i="27"/>
  <c r="M40" i="27" s="1"/>
  <c r="L41" i="27"/>
  <c r="M41" i="27" s="1"/>
  <c r="L43" i="27"/>
  <c r="M43" i="27" s="1"/>
  <c r="L44" i="27"/>
  <c r="M44" i="27" s="1"/>
  <c r="L46" i="27"/>
  <c r="M46" i="27" s="1"/>
  <c r="L47" i="27"/>
  <c r="M47" i="27" s="1"/>
  <c r="L48" i="27"/>
  <c r="M48" i="27" s="1"/>
  <c r="L49" i="27"/>
  <c r="M49" i="27" s="1"/>
  <c r="L50" i="27"/>
  <c r="M50" i="27" s="1"/>
  <c r="L51" i="27"/>
  <c r="M51" i="27" s="1"/>
  <c r="L52" i="27"/>
  <c r="M52" i="27" s="1"/>
  <c r="L54" i="27"/>
  <c r="M54" i="27" s="1"/>
  <c r="L55" i="27"/>
  <c r="M55" i="27" s="1"/>
  <c r="L57" i="27"/>
  <c r="M57" i="27" s="1"/>
  <c r="L59" i="27"/>
  <c r="M59" i="27" s="1"/>
  <c r="L62" i="27"/>
  <c r="M62" i="27" s="1"/>
  <c r="L63" i="27"/>
  <c r="M63" i="27" s="1"/>
  <c r="L64" i="27"/>
  <c r="M64" i="27" s="1"/>
  <c r="L65" i="27"/>
  <c r="M65" i="27" s="1"/>
  <c r="L66" i="27"/>
  <c r="M66" i="27" s="1"/>
  <c r="L67" i="27"/>
  <c r="M67" i="27" s="1"/>
  <c r="L68" i="27"/>
  <c r="M68" i="27" s="1"/>
  <c r="L69" i="27"/>
  <c r="M69" i="27" s="1"/>
  <c r="L70" i="27"/>
  <c r="M70" i="27" s="1"/>
  <c r="L71" i="27"/>
  <c r="M71" i="27" s="1"/>
  <c r="L73" i="27"/>
  <c r="M73" i="27" s="1"/>
  <c r="L74" i="27"/>
  <c r="M74" i="27" s="1"/>
  <c r="L75" i="27"/>
  <c r="M75" i="27" s="1"/>
  <c r="L76" i="27"/>
  <c r="M76" i="27" s="1"/>
  <c r="L77" i="27"/>
  <c r="M77" i="27" s="1"/>
  <c r="L78" i="27"/>
  <c r="M78" i="27" s="1"/>
  <c r="L79" i="27"/>
  <c r="M79" i="27" s="1"/>
  <c r="L80" i="27"/>
  <c r="M80" i="27" s="1"/>
  <c r="L112" i="27"/>
  <c r="M112" i="27" s="1"/>
  <c r="L81" i="27"/>
  <c r="M81" i="27" s="1"/>
  <c r="L82" i="27"/>
  <c r="M82" i="27" s="1"/>
  <c r="L83" i="27"/>
  <c r="M83" i="27" s="1"/>
  <c r="L84" i="27"/>
  <c r="M84" i="27" s="1"/>
  <c r="L85" i="27"/>
  <c r="M85" i="27" s="1"/>
  <c r="L86" i="27"/>
  <c r="M86" i="27" s="1"/>
  <c r="L87" i="27"/>
  <c r="M87" i="27" s="1"/>
  <c r="L88" i="27"/>
  <c r="M88" i="27" s="1"/>
  <c r="L89" i="27"/>
  <c r="M89" i="27" s="1"/>
  <c r="L90" i="27"/>
  <c r="M90" i="27" s="1"/>
  <c r="L91" i="27"/>
  <c r="M91" i="27" s="1"/>
  <c r="L92" i="27"/>
  <c r="M92" i="27" s="1"/>
  <c r="L93" i="27"/>
  <c r="M93" i="27" s="1"/>
  <c r="L95" i="27"/>
  <c r="M95" i="27" s="1"/>
  <c r="L96" i="27"/>
  <c r="M96" i="27" s="1"/>
  <c r="L97" i="27"/>
  <c r="M97" i="27" s="1"/>
  <c r="L98" i="27"/>
  <c r="M98" i="27" s="1"/>
  <c r="L99" i="27"/>
  <c r="M99" i="27" s="1"/>
  <c r="L100" i="27"/>
  <c r="M100" i="27" s="1"/>
  <c r="L101" i="27"/>
  <c r="M101" i="27" s="1"/>
  <c r="L102" i="27"/>
  <c r="M102" i="27" s="1"/>
  <c r="L103" i="27"/>
  <c r="M103" i="27" s="1"/>
  <c r="L104" i="27"/>
  <c r="M104" i="27" s="1"/>
  <c r="L105" i="27"/>
  <c r="M105" i="27" s="1"/>
  <c r="L107" i="27"/>
  <c r="M107" i="27" s="1"/>
  <c r="L109" i="27"/>
  <c r="M109" i="27" s="1"/>
  <c r="L110" i="27"/>
  <c r="M110" i="27" s="1"/>
  <c r="L113" i="27"/>
  <c r="M113" i="27" s="1"/>
  <c r="L115" i="27"/>
  <c r="M115" i="27" s="1"/>
  <c r="L116" i="27"/>
  <c r="M116" i="27" s="1"/>
  <c r="L117" i="27"/>
  <c r="M117" i="27" s="1"/>
  <c r="L119" i="27"/>
  <c r="M119" i="27" s="1"/>
  <c r="L120" i="27"/>
  <c r="M120" i="27" s="1"/>
  <c r="L122" i="27"/>
  <c r="M122" i="27" s="1"/>
  <c r="L123" i="27"/>
  <c r="M123" i="27" s="1"/>
  <c r="L124" i="27"/>
  <c r="M124" i="27" s="1"/>
  <c r="L125" i="27"/>
  <c r="M125" i="27" s="1"/>
  <c r="L128" i="27"/>
  <c r="M128" i="27" s="1"/>
  <c r="L133" i="27"/>
  <c r="M133" i="27" s="1"/>
  <c r="L134" i="27"/>
  <c r="M134" i="27" s="1"/>
  <c r="L137" i="27"/>
  <c r="M137" i="27" s="1"/>
  <c r="L138" i="27"/>
  <c r="M138" i="27" s="1"/>
  <c r="L139" i="27"/>
  <c r="M139" i="27" s="1"/>
  <c r="L140" i="27"/>
  <c r="M140" i="27" s="1"/>
  <c r="L142" i="27"/>
  <c r="M142" i="27" s="1"/>
  <c r="L145" i="27"/>
  <c r="M145" i="27" s="1"/>
  <c r="L146" i="27"/>
  <c r="M146" i="27" s="1"/>
  <c r="L149" i="27"/>
  <c r="M149" i="27" s="1"/>
  <c r="L2" i="24"/>
  <c r="V8" i="11"/>
  <c r="U8" i="11"/>
  <c r="V7" i="11"/>
  <c r="U7" i="11"/>
  <c r="V6" i="11"/>
  <c r="U6" i="11"/>
  <c r="V5" i="11"/>
  <c r="U5" i="11"/>
  <c r="V4" i="11"/>
  <c r="U4" i="11"/>
  <c r="V3" i="11"/>
  <c r="U3" i="11"/>
  <c r="M26" i="29" l="1"/>
  <c r="M102" i="29"/>
  <c r="M44" i="29"/>
  <c r="M162" i="29"/>
  <c r="M134" i="29"/>
  <c r="M97" i="29"/>
  <c r="M106" i="29"/>
  <c r="M169" i="29"/>
  <c r="M165" i="29"/>
  <c r="M131" i="29"/>
  <c r="M113" i="29"/>
  <c r="M120" i="29"/>
  <c r="M141" i="29"/>
  <c r="M125" i="29"/>
  <c r="M140" i="29"/>
  <c r="M138" i="29"/>
  <c r="M123" i="29"/>
  <c r="M32" i="29"/>
  <c r="M27" i="29"/>
  <c r="M20" i="29"/>
  <c r="M16" i="29"/>
  <c r="M12" i="29"/>
  <c r="M6" i="29"/>
  <c r="M8" i="28"/>
  <c r="M84" i="28"/>
  <c r="M80" i="28"/>
  <c r="M70" i="28"/>
  <c r="M57" i="28"/>
  <c r="M100" i="28"/>
  <c r="M117" i="28"/>
  <c r="M125" i="28"/>
  <c r="M143" i="28"/>
  <c r="M162" i="28"/>
  <c r="M34" i="28"/>
  <c r="M105" i="28"/>
  <c r="M113" i="28"/>
  <c r="M121" i="28"/>
  <c r="M22" i="28"/>
  <c r="M30" i="28"/>
  <c r="M38" i="28"/>
  <c r="M46" i="28"/>
  <c r="M54" i="28"/>
  <c r="M73" i="28"/>
  <c r="M151" i="28"/>
  <c r="M12" i="28"/>
  <c r="M64" i="28"/>
  <c r="M83" i="28"/>
  <c r="M92" i="28"/>
  <c r="M109" i="28"/>
  <c r="M133" i="28"/>
  <c r="M171" i="28"/>
  <c r="M166" i="28"/>
  <c r="M129" i="28"/>
  <c r="M68" i="28"/>
  <c r="M26" i="28"/>
  <c r="M164" i="28"/>
  <c r="M145" i="28"/>
  <c r="M127" i="28"/>
  <c r="M111" i="28"/>
  <c r="M94" i="28"/>
  <c r="M76" i="28"/>
  <c r="M56" i="28"/>
  <c r="M40" i="28"/>
  <c r="M24" i="28"/>
  <c r="M5" i="28"/>
  <c r="M67" i="28"/>
  <c r="M6" i="28"/>
  <c r="M140" i="28"/>
  <c r="M106" i="28"/>
  <c r="M69" i="28"/>
  <c r="M35" i="28"/>
  <c r="M138" i="28"/>
  <c r="M41" i="28"/>
  <c r="M142" i="28"/>
  <c r="M108" i="28"/>
  <c r="M72" i="28"/>
  <c r="M37" i="28"/>
  <c r="M165" i="28"/>
  <c r="M87" i="28"/>
  <c r="M153" i="28"/>
  <c r="M118" i="28"/>
  <c r="M85" i="28"/>
  <c r="M47" i="28"/>
  <c r="M13" i="28"/>
  <c r="M157" i="28"/>
  <c r="M96" i="28"/>
  <c r="M59" i="28"/>
  <c r="M16" i="28"/>
  <c r="M160" i="28"/>
  <c r="M141" i="28"/>
  <c r="M123" i="28"/>
  <c r="M107" i="28"/>
  <c r="M90" i="28"/>
  <c r="M71" i="28"/>
  <c r="M52" i="28"/>
  <c r="M36" i="28"/>
  <c r="M18" i="28"/>
  <c r="M156" i="28"/>
  <c r="M49" i="28"/>
  <c r="M167" i="28"/>
  <c r="M130" i="28"/>
  <c r="M97" i="28"/>
  <c r="M60" i="28"/>
  <c r="M27" i="28"/>
  <c r="M112" i="28"/>
  <c r="M170" i="28"/>
  <c r="M132" i="28"/>
  <c r="M99" i="28"/>
  <c r="M63" i="28"/>
  <c r="M29" i="28"/>
  <c r="M146" i="28"/>
  <c r="M33" i="28"/>
  <c r="M144" i="28"/>
  <c r="M110" i="28"/>
  <c r="M74" i="28"/>
  <c r="M39" i="28"/>
  <c r="M4" i="28"/>
  <c r="M147" i="28"/>
  <c r="M88" i="28"/>
  <c r="M50" i="28"/>
  <c r="M7" i="28"/>
  <c r="M154" i="28"/>
  <c r="M137" i="28"/>
  <c r="M119" i="28"/>
  <c r="M103" i="28"/>
  <c r="M86" i="28"/>
  <c r="M66" i="28"/>
  <c r="M48" i="28"/>
  <c r="M32" i="28"/>
  <c r="M14" i="28"/>
  <c r="M120" i="28"/>
  <c r="M25" i="28"/>
  <c r="M159" i="28"/>
  <c r="M122" i="28"/>
  <c r="M89" i="28"/>
  <c r="M51" i="28"/>
  <c r="M139" i="28"/>
  <c r="M149" i="28"/>
  <c r="M81" i="28"/>
  <c r="M10" i="28"/>
  <c r="M114" i="28"/>
  <c r="M9" i="28"/>
  <c r="M150" i="28"/>
  <c r="M82" i="28"/>
  <c r="M11" i="28"/>
  <c r="M163" i="28"/>
  <c r="M93" i="28"/>
  <c r="M23" i="28"/>
  <c r="M78" i="28"/>
  <c r="M131" i="28"/>
  <c r="M62" i="28"/>
  <c r="M95" i="28"/>
  <c r="M79" i="28"/>
  <c r="M77" i="28"/>
  <c r="M124" i="28"/>
  <c r="M53" i="28"/>
  <c r="M128" i="28"/>
  <c r="M136" i="28"/>
  <c r="M65" i="28"/>
  <c r="M42" i="28"/>
  <c r="M115" i="28"/>
  <c r="M44" i="28"/>
  <c r="M15" i="28"/>
  <c r="M43" i="28"/>
  <c r="M58" i="28"/>
  <c r="M116" i="28"/>
  <c r="M45" i="28"/>
  <c r="M104" i="28"/>
  <c r="M126" i="28"/>
  <c r="M55" i="28"/>
  <c r="M168" i="28"/>
  <c r="M98" i="28"/>
  <c r="M28" i="28"/>
  <c r="M148" i="28"/>
  <c r="M17" i="28"/>
  <c r="M161" i="28"/>
  <c r="M91" i="28"/>
  <c r="M20" i="28"/>
  <c r="M172" i="28"/>
  <c r="M102" i="28"/>
  <c r="M31" i="28"/>
  <c r="M53" i="24"/>
  <c r="M137" i="24"/>
  <c r="M140" i="24"/>
  <c r="M156" i="24"/>
  <c r="M109" i="24"/>
  <c r="M131" i="24"/>
  <c r="M158" i="29"/>
  <c r="M153" i="29"/>
  <c r="M24" i="29"/>
  <c r="M156" i="29"/>
  <c r="M151" i="29"/>
  <c r="M161" i="29"/>
  <c r="M96" i="29"/>
  <c r="M74" i="29"/>
  <c r="M60" i="29"/>
  <c r="M81" i="29"/>
  <c r="M105" i="29"/>
  <c r="M95" i="29"/>
  <c r="M63" i="29"/>
  <c r="M42" i="29"/>
  <c r="M46" i="29"/>
  <c r="M33" i="29"/>
  <c r="M29" i="29"/>
  <c r="M115" i="29"/>
  <c r="M89" i="29"/>
  <c r="M145" i="29"/>
  <c r="M5" i="29"/>
  <c r="M133" i="29"/>
  <c r="M128" i="29"/>
  <c r="M130" i="29"/>
  <c r="M51" i="29"/>
  <c r="M73" i="29"/>
  <c r="M49" i="29"/>
  <c r="M79" i="29"/>
  <c r="M57" i="29"/>
  <c r="M38" i="29"/>
  <c r="M9" i="29"/>
  <c r="M149" i="29"/>
  <c r="M172" i="29"/>
  <c r="M76" i="29"/>
  <c r="M56" i="29"/>
  <c r="M4" i="29"/>
  <c r="M7" i="29"/>
  <c r="M119" i="29"/>
  <c r="M78" i="29"/>
  <c r="M70" i="29"/>
  <c r="M72" i="29"/>
  <c r="M171" i="29"/>
  <c r="M168" i="29"/>
  <c r="M174" i="29"/>
  <c r="M170" i="29"/>
  <c r="M166" i="29"/>
  <c r="M163" i="29"/>
  <c r="M159" i="29"/>
  <c r="M155" i="29"/>
  <c r="M150" i="29"/>
  <c r="M147" i="29"/>
  <c r="M146" i="29"/>
  <c r="M143" i="29"/>
  <c r="M139" i="29"/>
  <c r="M136" i="29"/>
  <c r="M132" i="29"/>
  <c r="M127" i="29"/>
  <c r="M124" i="29"/>
  <c r="M121" i="29"/>
  <c r="M117" i="29"/>
  <c r="M114" i="29"/>
  <c r="M111" i="29"/>
  <c r="M109" i="29"/>
  <c r="M107" i="29"/>
  <c r="M103" i="29"/>
  <c r="M100" i="29"/>
  <c r="M98" i="29"/>
  <c r="M93" i="29"/>
  <c r="M91" i="29"/>
  <c r="M88" i="29"/>
  <c r="M86" i="29"/>
  <c r="M84" i="29"/>
  <c r="M82" i="29"/>
  <c r="M77" i="29"/>
  <c r="M71" i="29"/>
  <c r="M68" i="29"/>
  <c r="M66" i="29"/>
  <c r="M64" i="29"/>
  <c r="M61" i="29"/>
  <c r="M58" i="29"/>
  <c r="M54" i="29"/>
  <c r="M52" i="29"/>
  <c r="M48" i="29"/>
  <c r="M45" i="29"/>
  <c r="M41" i="29"/>
  <c r="M39" i="29"/>
  <c r="M36" i="29"/>
  <c r="M34" i="29"/>
  <c r="M31" i="29"/>
  <c r="M28" i="29"/>
  <c r="M23" i="29"/>
  <c r="M21" i="29"/>
  <c r="M19" i="29"/>
  <c r="M17" i="29"/>
  <c r="M15" i="29"/>
  <c r="M13" i="29"/>
  <c r="M11" i="29"/>
  <c r="M8" i="29"/>
  <c r="M3" i="29"/>
  <c r="M3" i="28"/>
  <c r="M130" i="24"/>
  <c r="M84" i="24"/>
  <c r="M13" i="24"/>
  <c r="M34" i="24"/>
  <c r="M95" i="24"/>
  <c r="M59" i="24"/>
  <c r="M86" i="24"/>
  <c r="M111" i="24"/>
  <c r="M105" i="24"/>
  <c r="M9" i="24"/>
  <c r="M151" i="24"/>
  <c r="M143" i="24"/>
  <c r="M25" i="24"/>
  <c r="M90" i="24"/>
  <c r="M153" i="24"/>
  <c r="M31" i="24"/>
  <c r="M167" i="24"/>
  <c r="M125" i="24"/>
  <c r="M170" i="24"/>
  <c r="M12" i="24"/>
  <c r="M164" i="24"/>
  <c r="M47" i="24"/>
  <c r="M94" i="24"/>
  <c r="M136" i="24"/>
  <c r="M74" i="24"/>
  <c r="M46" i="24"/>
  <c r="M80" i="24"/>
  <c r="M78" i="24"/>
  <c r="M97" i="24"/>
  <c r="M155" i="24"/>
  <c r="M76" i="24"/>
  <c r="M73" i="24"/>
  <c r="M100" i="24"/>
  <c r="M106" i="24"/>
  <c r="M112" i="24"/>
  <c r="M118" i="24"/>
  <c r="M122" i="24"/>
  <c r="M160" i="24"/>
  <c r="M70" i="24"/>
  <c r="M102" i="24"/>
  <c r="M107" i="24"/>
  <c r="M115" i="24"/>
  <c r="M119" i="24"/>
  <c r="M113" i="24"/>
  <c r="M92" i="24"/>
  <c r="M133" i="24"/>
  <c r="M103" i="24"/>
  <c r="M108" i="24"/>
  <c r="M116" i="24"/>
  <c r="M120" i="24"/>
  <c r="M101" i="24"/>
  <c r="M66" i="24"/>
  <c r="M99" i="24"/>
  <c r="M104" i="24"/>
  <c r="M110" i="24"/>
  <c r="M117" i="24"/>
  <c r="M121" i="24"/>
  <c r="M114" i="24"/>
  <c r="M138" i="24"/>
  <c r="M141" i="24"/>
  <c r="M146" i="24"/>
  <c r="M150" i="24"/>
  <c r="M158" i="24"/>
  <c r="M163" i="24"/>
  <c r="M169" i="24"/>
  <c r="M142" i="24"/>
  <c r="M147" i="24"/>
  <c r="M152" i="24"/>
  <c r="M159" i="24"/>
  <c r="M165" i="24"/>
  <c r="M171" i="24"/>
  <c r="M128" i="24"/>
  <c r="M124" i="24"/>
  <c r="M129" i="24"/>
  <c r="M123" i="24"/>
  <c r="M144" i="24"/>
  <c r="M148" i="24"/>
  <c r="M154" i="24"/>
  <c r="M161" i="24"/>
  <c r="M166" i="24"/>
  <c r="M139" i="24"/>
  <c r="M145" i="24"/>
  <c r="M149" i="24"/>
  <c r="M157" i="24"/>
  <c r="M162" i="24"/>
  <c r="M168" i="24"/>
  <c r="M126" i="24"/>
  <c r="M135" i="24"/>
  <c r="M127" i="24"/>
  <c r="M134" i="24"/>
  <c r="M132" i="24"/>
  <c r="M57" i="24"/>
  <c r="M62" i="24"/>
  <c r="M67" i="24"/>
  <c r="M72" i="24"/>
  <c r="M81" i="24"/>
  <c r="M87" i="24"/>
  <c r="M93" i="24"/>
  <c r="M58" i="24"/>
  <c r="M63" i="24"/>
  <c r="M68" i="24"/>
  <c r="M75" i="24"/>
  <c r="M82" i="24"/>
  <c r="M88" i="24"/>
  <c r="M96" i="24"/>
  <c r="M60" i="24"/>
  <c r="M64" i="24"/>
  <c r="M69" i="24"/>
  <c r="M77" i="24"/>
  <c r="M83" i="24"/>
  <c r="M89" i="24"/>
  <c r="M98" i="24"/>
  <c r="M61" i="24"/>
  <c r="M65" i="24"/>
  <c r="M71" i="24"/>
  <c r="M79" i="24"/>
  <c r="M85" i="24"/>
  <c r="M91" i="24"/>
  <c r="M55" i="24"/>
  <c r="M32" i="24"/>
  <c r="M30" i="24"/>
  <c r="M23" i="24"/>
  <c r="M22" i="24"/>
  <c r="M21" i="24"/>
  <c r="M20" i="24"/>
  <c r="M19" i="24"/>
  <c r="M18" i="24"/>
  <c r="M17" i="24"/>
  <c r="M16" i="24"/>
  <c r="M15" i="24"/>
  <c r="M14" i="24"/>
  <c r="M11" i="24"/>
  <c r="M10" i="24"/>
  <c r="M8" i="24"/>
  <c r="M4" i="24"/>
  <c r="M52" i="24"/>
  <c r="M33" i="24"/>
  <c r="M24" i="24"/>
  <c r="M3" i="24"/>
  <c r="M5" i="24"/>
  <c r="M27" i="24"/>
  <c r="M36" i="24"/>
  <c r="M40" i="24"/>
  <c r="M44" i="24"/>
  <c r="M50" i="24"/>
  <c r="M6" i="24"/>
  <c r="M28" i="24"/>
  <c r="M37" i="24"/>
  <c r="M41" i="24"/>
  <c r="M45" i="24"/>
  <c r="M51" i="24"/>
  <c r="M54" i="24"/>
  <c r="M7" i="24"/>
  <c r="M29" i="24"/>
  <c r="M38" i="24"/>
  <c r="M42" i="24"/>
  <c r="M48" i="24"/>
  <c r="M56" i="24"/>
  <c r="M26" i="24"/>
  <c r="M35" i="24"/>
  <c r="M39" i="24"/>
  <c r="M43" i="24"/>
  <c r="M49" i="24"/>
  <c r="O2" i="24" l="1"/>
  <c r="D29" i="11"/>
  <c r="C29" i="11"/>
  <c r="D28" i="11"/>
  <c r="C28" i="11"/>
  <c r="D27" i="11"/>
  <c r="C27" i="11"/>
  <c r="D26" i="11"/>
  <c r="C26" i="11"/>
  <c r="D25" i="11"/>
  <c r="C25" i="11"/>
  <c r="D24" i="11"/>
  <c r="C24" i="11"/>
  <c r="D23" i="11"/>
  <c r="C23" i="11"/>
  <c r="D22" i="11"/>
  <c r="C22" i="11"/>
  <c r="D21" i="11"/>
  <c r="C21" i="11"/>
  <c r="D20" i="11"/>
  <c r="C20" i="11"/>
  <c r="D19" i="11"/>
  <c r="C19" i="11"/>
  <c r="AB15" i="11"/>
  <c r="AA15" i="11"/>
  <c r="AB14" i="11"/>
  <c r="AA14" i="11"/>
  <c r="AB13" i="11"/>
  <c r="AA13" i="11"/>
  <c r="AB12" i="11"/>
  <c r="AA12" i="11"/>
  <c r="AB11" i="11"/>
  <c r="AA11" i="11"/>
  <c r="AB10" i="11"/>
  <c r="AA10" i="11"/>
  <c r="AB9" i="11"/>
  <c r="AA9" i="11"/>
  <c r="AB8" i="11"/>
  <c r="AA8" i="11"/>
  <c r="AB7" i="11"/>
  <c r="AA7" i="11"/>
  <c r="AB6" i="11"/>
  <c r="AA6" i="11"/>
  <c r="AB5" i="11"/>
  <c r="AA5" i="11"/>
  <c r="AB4" i="11"/>
  <c r="AA4" i="11"/>
  <c r="AB3" i="11"/>
  <c r="AA3" i="11"/>
  <c r="P15" i="11"/>
  <c r="O15" i="11"/>
  <c r="P14" i="11"/>
  <c r="O14" i="11"/>
  <c r="P13" i="11"/>
  <c r="O13" i="11"/>
  <c r="P12" i="11"/>
  <c r="O12" i="11"/>
  <c r="P11" i="11"/>
  <c r="O11" i="11"/>
  <c r="P10" i="11"/>
  <c r="O10" i="11"/>
  <c r="P9" i="11"/>
  <c r="O9" i="11"/>
  <c r="P8" i="11"/>
  <c r="O8" i="11"/>
  <c r="P7" i="11"/>
  <c r="O7" i="11"/>
  <c r="P6" i="11"/>
  <c r="O6" i="11"/>
  <c r="P5" i="11"/>
  <c r="O5" i="11"/>
  <c r="P4" i="11"/>
  <c r="O4" i="11"/>
  <c r="P3" i="11"/>
  <c r="O3" i="11"/>
  <c r="J15" i="11"/>
  <c r="I15" i="11"/>
  <c r="J14" i="11"/>
  <c r="I14" i="11"/>
  <c r="J13" i="11"/>
  <c r="I13" i="11"/>
  <c r="J12" i="11"/>
  <c r="I12" i="11"/>
  <c r="J11" i="11"/>
  <c r="I11" i="11"/>
  <c r="J10" i="11"/>
  <c r="I10" i="11"/>
  <c r="J9" i="11"/>
  <c r="I9" i="11"/>
  <c r="J8" i="11"/>
  <c r="I8" i="11"/>
  <c r="J7" i="11"/>
  <c r="I7" i="11"/>
  <c r="J6" i="11"/>
  <c r="I6" i="11"/>
  <c r="J5" i="11"/>
  <c r="I5" i="11"/>
  <c r="J4" i="11"/>
  <c r="I4" i="11"/>
  <c r="J3" i="11"/>
  <c r="I3" i="11"/>
  <c r="D13" i="11"/>
  <c r="C13" i="11"/>
  <c r="D12" i="11"/>
  <c r="C12" i="11"/>
  <c r="D11" i="11"/>
  <c r="C11" i="11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H16" i="3" l="1"/>
  <c r="C2" i="3" l="1"/>
  <c r="C3" i="3" s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L25" i="29"/>
  <c r="M25" i="29" s="1"/>
</calcChain>
</file>

<file path=xl/sharedStrings.xml><?xml version="1.0" encoding="utf-8"?>
<sst xmlns="http://schemas.openxmlformats.org/spreadsheetml/2006/main" count="5259" uniqueCount="760">
  <si>
    <t>Aleksandra</t>
  </si>
  <si>
    <t>Sowa</t>
  </si>
  <si>
    <t>Mateusz</t>
  </si>
  <si>
    <t>Lp</t>
  </si>
  <si>
    <t>Klasa</t>
  </si>
  <si>
    <t>grupa</t>
  </si>
  <si>
    <t>nr</t>
  </si>
  <si>
    <t>imiona</t>
  </si>
  <si>
    <t>Nazwisko</t>
  </si>
  <si>
    <t>Magdalena</t>
  </si>
  <si>
    <t>Kacper</t>
  </si>
  <si>
    <t>Patrycja</t>
  </si>
  <si>
    <t>Gabriela</t>
  </si>
  <si>
    <t>Babiarz</t>
  </si>
  <si>
    <t>Natalia</t>
  </si>
  <si>
    <t>Kamil</t>
  </si>
  <si>
    <t>Monika</t>
  </si>
  <si>
    <t>Baran</t>
  </si>
  <si>
    <t>Anna</t>
  </si>
  <si>
    <t>Wiktoria</t>
  </si>
  <si>
    <t>Ogryzek</t>
  </si>
  <si>
    <t>a</t>
  </si>
  <si>
    <t>b</t>
  </si>
  <si>
    <t>c</t>
  </si>
  <si>
    <t>d</t>
  </si>
  <si>
    <t>pole OD</t>
  </si>
  <si>
    <t>temat</t>
  </si>
  <si>
    <t>komunikacja</t>
  </si>
  <si>
    <t>Ocena</t>
  </si>
  <si>
    <t>% punktów</t>
  </si>
  <si>
    <t>4-</t>
  </si>
  <si>
    <t>3-</t>
  </si>
  <si>
    <t>3+</t>
  </si>
  <si>
    <t>5-</t>
  </si>
  <si>
    <t>4+</t>
  </si>
  <si>
    <t>2+</t>
  </si>
  <si>
    <t>5+</t>
  </si>
  <si>
    <t>nazwa</t>
  </si>
  <si>
    <t>spis rysunków</t>
  </si>
  <si>
    <t>Ilasz</t>
  </si>
  <si>
    <t>Michał</t>
  </si>
  <si>
    <t>Kochman</t>
  </si>
  <si>
    <t>nazwisko</t>
  </si>
  <si>
    <t>Ślimak</t>
  </si>
  <si>
    <t>Golenia</t>
  </si>
  <si>
    <t>Guzek</t>
  </si>
  <si>
    <t>Magryś</t>
  </si>
  <si>
    <t>Zuzanna</t>
  </si>
  <si>
    <t>Weronika</t>
  </si>
  <si>
    <t>Szymańska</t>
  </si>
  <si>
    <t>Bar</t>
  </si>
  <si>
    <t>Bembenik</t>
  </si>
  <si>
    <t>Rzepa</t>
  </si>
  <si>
    <t>Wojtas</t>
  </si>
  <si>
    <t>Wrona</t>
  </si>
  <si>
    <t>Rejman</t>
  </si>
  <si>
    <t>Róg</t>
  </si>
  <si>
    <t>Rzepka</t>
  </si>
  <si>
    <t>Krzysztoń</t>
  </si>
  <si>
    <t>Sobuś</t>
  </si>
  <si>
    <t>Stopyra</t>
  </si>
  <si>
    <t>Pusz</t>
  </si>
  <si>
    <t>procent</t>
  </si>
  <si>
    <t>tabulatory</t>
  </si>
  <si>
    <t>Andrzej</t>
  </si>
  <si>
    <t>Karolina</t>
  </si>
  <si>
    <t>Szymon</t>
  </si>
  <si>
    <t>Łukasz</t>
  </si>
  <si>
    <t>Oliwia</t>
  </si>
  <si>
    <t>Zaliczone skoki</t>
  </si>
  <si>
    <t>wyróżnione 6</t>
  </si>
  <si>
    <t>najdłuższy skok</t>
  </si>
  <si>
    <t>wyróżnione medale</t>
  </si>
  <si>
    <t>ile obowiązkowych</t>
  </si>
  <si>
    <t>czy zdana matura</t>
  </si>
  <si>
    <t>nie zdali matury</t>
  </si>
  <si>
    <t>kobiety</t>
  </si>
  <si>
    <t>średnia</t>
  </si>
  <si>
    <t>ile niezdanych</t>
  </si>
  <si>
    <t>Jakub</t>
  </si>
  <si>
    <t>Paulina</t>
  </si>
  <si>
    <t>Konrad</t>
  </si>
  <si>
    <t>Julia</t>
  </si>
  <si>
    <t>Bekierski</t>
  </si>
  <si>
    <t>Broszkiewicz</t>
  </si>
  <si>
    <t>Chudzik</t>
  </si>
  <si>
    <t>Danielewicz</t>
  </si>
  <si>
    <t>Dołęga</t>
  </si>
  <si>
    <t>Dzierga</t>
  </si>
  <si>
    <t>Filipek</t>
  </si>
  <si>
    <t>Fryń</t>
  </si>
  <si>
    <t>Fugas</t>
  </si>
  <si>
    <t>Harpula</t>
  </si>
  <si>
    <t>Marcin</t>
  </si>
  <si>
    <t>Kordas</t>
  </si>
  <si>
    <t>Kowalczyk</t>
  </si>
  <si>
    <t>Noga</t>
  </si>
  <si>
    <t>Płaza</t>
  </si>
  <si>
    <t>Pudło</t>
  </si>
  <si>
    <t>Sander</t>
  </si>
  <si>
    <t>Kamila</t>
  </si>
  <si>
    <t>Sikora</t>
  </si>
  <si>
    <t>Aldona</t>
  </si>
  <si>
    <t>Szczepańska</t>
  </si>
  <si>
    <t>Szot</t>
  </si>
  <si>
    <t>Świętoniowska</t>
  </si>
  <si>
    <t>Tomaszek</t>
  </si>
  <si>
    <t>Trojniar</t>
  </si>
  <si>
    <t>Waliszak</t>
  </si>
  <si>
    <t>Wiater</t>
  </si>
  <si>
    <t>Witek</t>
  </si>
  <si>
    <t>Żyga</t>
  </si>
  <si>
    <t>Bester</t>
  </si>
  <si>
    <t>Błądek</t>
  </si>
  <si>
    <t>Cieszyński</t>
  </si>
  <si>
    <t>Dygoń</t>
  </si>
  <si>
    <t>Frączek</t>
  </si>
  <si>
    <t>Gargała</t>
  </si>
  <si>
    <t>Hućko</t>
  </si>
  <si>
    <t>Kloc</t>
  </si>
  <si>
    <t>Lebedyńska</t>
  </si>
  <si>
    <t>Lekki</t>
  </si>
  <si>
    <t>Musz</t>
  </si>
  <si>
    <t>Olechowski</t>
  </si>
  <si>
    <t>Olszewska</t>
  </si>
  <si>
    <t>Ilona</t>
  </si>
  <si>
    <t>Pondel</t>
  </si>
  <si>
    <t>Klaudia</t>
  </si>
  <si>
    <t>Kinga</t>
  </si>
  <si>
    <t>Sałamaj</t>
  </si>
  <si>
    <t>Skowronek</t>
  </si>
  <si>
    <t>Stafa</t>
  </si>
  <si>
    <t>Uberman</t>
  </si>
  <si>
    <t>Ząbroń</t>
  </si>
  <si>
    <t>Benedyk</t>
  </si>
  <si>
    <t>Cielecka</t>
  </si>
  <si>
    <t>Ciupińska</t>
  </si>
  <si>
    <t>Ciupiński</t>
  </si>
  <si>
    <t>Czeszek</t>
  </si>
  <si>
    <t>Jakubiec</t>
  </si>
  <si>
    <t>Jucha</t>
  </si>
  <si>
    <t>Jurek</t>
  </si>
  <si>
    <t>Karpińska</t>
  </si>
  <si>
    <t>Kuczma</t>
  </si>
  <si>
    <t>Majka</t>
  </si>
  <si>
    <t>Popek</t>
  </si>
  <si>
    <t>Różycka</t>
  </si>
  <si>
    <t>Strzępka</t>
  </si>
  <si>
    <t>Hubert</t>
  </si>
  <si>
    <t>Budziwół</t>
  </si>
  <si>
    <t>Dudek</t>
  </si>
  <si>
    <t>Marlena</t>
  </si>
  <si>
    <t>Fusiarz</t>
  </si>
  <si>
    <t>Górska</t>
  </si>
  <si>
    <t>Laura</t>
  </si>
  <si>
    <t>Hadław</t>
  </si>
  <si>
    <t>Kukulska</t>
  </si>
  <si>
    <t>Lech</t>
  </si>
  <si>
    <t>Leśko</t>
  </si>
  <si>
    <t>Lichota</t>
  </si>
  <si>
    <t>Mach</t>
  </si>
  <si>
    <t>Madera</t>
  </si>
  <si>
    <t>Bartłomiej</t>
  </si>
  <si>
    <t>Naróg</t>
  </si>
  <si>
    <t>Podolec</t>
  </si>
  <si>
    <t>Puchalik</t>
  </si>
  <si>
    <t>Rokosz</t>
  </si>
  <si>
    <t>Słysz</t>
  </si>
  <si>
    <t>Sondej</t>
  </si>
  <si>
    <t>Sońska</t>
  </si>
  <si>
    <t>Wal</t>
  </si>
  <si>
    <t>Wikiera</t>
  </si>
  <si>
    <t>Zdeb</t>
  </si>
  <si>
    <t>Adrian</t>
  </si>
  <si>
    <t>Agata</t>
  </si>
  <si>
    <t>Alexandra</t>
  </si>
  <si>
    <t>Alicja</t>
  </si>
  <si>
    <t>Katarzyna</t>
  </si>
  <si>
    <t>Lidia</t>
  </si>
  <si>
    <t>Szczepan</t>
  </si>
  <si>
    <t>Tymoteusz</t>
  </si>
  <si>
    <t>Agnieszka</t>
  </si>
  <si>
    <t>Dominik</t>
  </si>
  <si>
    <t>Emanuela</t>
  </si>
  <si>
    <t>Fabian</t>
  </si>
  <si>
    <t>Justyna</t>
  </si>
  <si>
    <t>Małgorzata</t>
  </si>
  <si>
    <t>Mirosław</t>
  </si>
  <si>
    <t>Patryk</t>
  </si>
  <si>
    <t>Sara</t>
  </si>
  <si>
    <t>Faustyna</t>
  </si>
  <si>
    <t>Milena</t>
  </si>
  <si>
    <t>Adrianna</t>
  </si>
  <si>
    <t>Wioletta</t>
  </si>
  <si>
    <t>Błędy i kary</t>
  </si>
  <si>
    <t>punkty</t>
  </si>
  <si>
    <t>ocena</t>
  </si>
  <si>
    <t>formatowanie (Word)</t>
  </si>
  <si>
    <t>Word - projekt</t>
  </si>
  <si>
    <t>Excel - sprawdzian</t>
  </si>
  <si>
    <t>termin zadania</t>
  </si>
  <si>
    <t>data wykonania</t>
  </si>
  <si>
    <t>imię</t>
  </si>
  <si>
    <t>Uwagi</t>
  </si>
  <si>
    <t>Wersja</t>
  </si>
  <si>
    <t>Waga</t>
  </si>
  <si>
    <t>Punkty</t>
  </si>
  <si>
    <t>Data oceny</t>
  </si>
  <si>
    <t>brak zadania w terminie</t>
  </si>
  <si>
    <t>półrocze</t>
  </si>
  <si>
    <t>brak pliku w mailu</t>
  </si>
  <si>
    <t>nieprzygotowanie</t>
  </si>
  <si>
    <t>zwolniona z zadania</t>
  </si>
  <si>
    <t>utworzenie stylów</t>
  </si>
  <si>
    <t>stosowanie stylów</t>
  </si>
  <si>
    <t>nagłówki i numery</t>
  </si>
  <si>
    <t>spis treści</t>
  </si>
  <si>
    <t>akapity!!!</t>
  </si>
  <si>
    <t>praca skopiowana od Julii Ciupińskiej 1c</t>
  </si>
  <si>
    <t>2016.12.12</t>
  </si>
  <si>
    <t>2016.12.8</t>
  </si>
  <si>
    <t>data nieprzygotowania</t>
  </si>
  <si>
    <t>zadanie</t>
  </si>
  <si>
    <t>brak pliku</t>
  </si>
  <si>
    <t>komunikator</t>
  </si>
  <si>
    <t>DW</t>
  </si>
  <si>
    <t>ważna</t>
  </si>
  <si>
    <t>podpis</t>
  </si>
  <si>
    <t>odbiorca</t>
  </si>
  <si>
    <t>nazwa pliku</t>
  </si>
  <si>
    <t>ostatni akapit</t>
  </si>
  <si>
    <t>twarda spacja</t>
  </si>
  <si>
    <t>malarz formatów</t>
  </si>
  <si>
    <t>indeks górny</t>
  </si>
  <si>
    <t>rozstrzelenie</t>
  </si>
  <si>
    <t>przekreślenie</t>
  </si>
  <si>
    <t>podkreślenie</t>
  </si>
  <si>
    <t>pogrubienie</t>
  </si>
  <si>
    <t>niebieski</t>
  </si>
  <si>
    <t>wcięcie prawa 2</t>
  </si>
  <si>
    <t>wyrównanie prawa</t>
  </si>
  <si>
    <t>wcięcie 2cm</t>
  </si>
  <si>
    <t>wyrównanie lewa</t>
  </si>
  <si>
    <t>kursywa</t>
  </si>
  <si>
    <t>zielony</t>
  </si>
  <si>
    <t>odstępy 0</t>
  </si>
  <si>
    <t>Interlinia 1,5</t>
  </si>
  <si>
    <t>rozmiar 10</t>
  </si>
  <si>
    <t>Trebuchet</t>
  </si>
  <si>
    <t>odstęp po 18</t>
  </si>
  <si>
    <t>odstęp przed 0</t>
  </si>
  <si>
    <t>pierwszy wiersz 1cm</t>
  </si>
  <si>
    <t>wyjustowanie</t>
  </si>
  <si>
    <t>odstęp po 0</t>
  </si>
  <si>
    <t>odstęp przed 30</t>
  </si>
  <si>
    <t>interlinia 1</t>
  </si>
  <si>
    <t>14 pkt</t>
  </si>
  <si>
    <t>kapitaliki</t>
  </si>
  <si>
    <t>cień</t>
  </si>
  <si>
    <t>wyśrodkowany</t>
  </si>
  <si>
    <t>rozmiar 25</t>
  </si>
  <si>
    <t>Candara</t>
  </si>
  <si>
    <t>Imię i nazwisko</t>
  </si>
  <si>
    <t>błędne sekcje i inne znaki</t>
  </si>
  <si>
    <t>numery</t>
  </si>
  <si>
    <t>nagłówki 1 strony</t>
  </si>
  <si>
    <t>nagłówki</t>
  </si>
  <si>
    <t>marginesy</t>
  </si>
  <si>
    <t>3 kolumny</t>
  </si>
  <si>
    <t>podział na sekcje</t>
  </si>
  <si>
    <t>błędne znaki</t>
  </si>
  <si>
    <t>odpowiednie tabulatory</t>
  </si>
  <si>
    <t>3 tabulatory</t>
  </si>
  <si>
    <t>1 wiersz - format, tło, podkreślenie</t>
  </si>
  <si>
    <t>tytuł - format i odstęp</t>
  </si>
  <si>
    <t>odstępy między akapitami</t>
  </si>
  <si>
    <t>wyrównanie akapitów</t>
  </si>
  <si>
    <t>zaproszenie</t>
  </si>
  <si>
    <t>adresat (wyrównanie, format)</t>
  </si>
  <si>
    <t>ustawienia 1 linii</t>
  </si>
  <si>
    <t>Imiona</t>
  </si>
  <si>
    <t>np., zadanie 2 dni później</t>
  </si>
  <si>
    <t>praca skopiowana PP 1c</t>
  </si>
  <si>
    <t>style i akapity!!</t>
  </si>
  <si>
    <t>praca identyczna jak IP</t>
  </si>
  <si>
    <t>praca identyczna jak MO</t>
  </si>
  <si>
    <t>kopia pracy GG 1c</t>
  </si>
  <si>
    <t>praca skopiowana PP 1c (?)</t>
  </si>
  <si>
    <t>praca skopiowana (NK 1c)</t>
  </si>
  <si>
    <t>brak większych zmian!</t>
  </si>
  <si>
    <t>błąd w polu OD, akapity!!!</t>
  </si>
  <si>
    <t>praca kopiowana (OC 1c)</t>
  </si>
  <si>
    <t>praca skopiowana (KJ 1c)</t>
  </si>
  <si>
    <t>praca kopiowana</t>
  </si>
  <si>
    <t>praca skopiowana (JK 1d)</t>
  </si>
  <si>
    <t>plik</t>
  </si>
  <si>
    <t>dwa arkusze = dwie tabliczki</t>
  </si>
  <si>
    <t>formatowanie</t>
  </si>
  <si>
    <t>widok</t>
  </si>
  <si>
    <t>adresowanie</t>
  </si>
  <si>
    <t>formuła tablicowa</t>
  </si>
  <si>
    <t>liczby 1-x</t>
  </si>
  <si>
    <t>tabliczka</t>
  </si>
  <si>
    <t>liczne błędne akapity i podziały</t>
  </si>
  <si>
    <t>co najmniej 1 sposób</t>
  </si>
  <si>
    <t>brak spisu treści, błędne stosowanie stylów, liczne błędne akapity</t>
  </si>
  <si>
    <t>warunkowe</t>
  </si>
  <si>
    <t>nieobecny 12.04</t>
  </si>
  <si>
    <t>nieobecna 27.03</t>
  </si>
  <si>
    <t>nieobecna 12.04</t>
  </si>
  <si>
    <t>2-</t>
  </si>
  <si>
    <t>3=4</t>
  </si>
  <si>
    <t>1.1 komunikacja</t>
  </si>
  <si>
    <t>1.2 czcionka</t>
  </si>
  <si>
    <t>1.3 tabulatory</t>
  </si>
  <si>
    <t>1.5 Word</t>
  </si>
  <si>
    <t>1.6 adresowanie</t>
  </si>
  <si>
    <t>1.7 warunkowe</t>
  </si>
  <si>
    <t>1.9 prezentacja</t>
  </si>
  <si>
    <t>1.12 dodatkowe</t>
  </si>
  <si>
    <t>1.11 aktywność</t>
  </si>
  <si>
    <t>1.10 obecność</t>
  </si>
  <si>
    <t>1=2</t>
  </si>
  <si>
    <t>2=3</t>
  </si>
  <si>
    <t>praca kopiowana (KG 1a)</t>
  </si>
  <si>
    <t>środa</t>
  </si>
  <si>
    <t>brak KG</t>
  </si>
  <si>
    <t>brak prezentacji</t>
  </si>
  <si>
    <t>nawias (2) litera (2) inny font (3-4), litera w (4), głośno mówi, brak tytułów, dużo treści (4-6), bibliografia? Zaporoska w rosji?</t>
  </si>
  <si>
    <t>wstęp</t>
  </si>
  <si>
    <t>bibliografia</t>
  </si>
  <si>
    <t>media</t>
  </si>
  <si>
    <t>przedstawienie</t>
  </si>
  <si>
    <t>x</t>
  </si>
  <si>
    <t>Brygida</t>
  </si>
  <si>
    <t>Bielówka</t>
  </si>
  <si>
    <t>Czado</t>
  </si>
  <si>
    <t>Kaczmarek</t>
  </si>
  <si>
    <t>Kruk</t>
  </si>
  <si>
    <t>Maczuga</t>
  </si>
  <si>
    <t>Emanuel</t>
  </si>
  <si>
    <t>Magdoń</t>
  </si>
  <si>
    <t>Międlar</t>
  </si>
  <si>
    <t>Młynek</t>
  </si>
  <si>
    <t>Nosek</t>
  </si>
  <si>
    <t>Piekarz</t>
  </si>
  <si>
    <t>Piwowarski</t>
  </si>
  <si>
    <t>Rafał</t>
  </si>
  <si>
    <t>Porębny</t>
  </si>
  <si>
    <t>Prokop</t>
  </si>
  <si>
    <t>Ryzner</t>
  </si>
  <si>
    <t>Joanna</t>
  </si>
  <si>
    <t>Sroczyk</t>
  </si>
  <si>
    <t>Tomasz</t>
  </si>
  <si>
    <t>Błażej</t>
  </si>
  <si>
    <t>Superson</t>
  </si>
  <si>
    <t>Szal</t>
  </si>
  <si>
    <t>Szpunar</t>
  </si>
  <si>
    <t>Jan</t>
  </si>
  <si>
    <t>Szylar</t>
  </si>
  <si>
    <t>Uchman</t>
  </si>
  <si>
    <t>Augustyn</t>
  </si>
  <si>
    <t>Czapka</t>
  </si>
  <si>
    <t>Dobosz</t>
  </si>
  <si>
    <t>Dziurzyńska</t>
  </si>
  <si>
    <t>Gdula</t>
  </si>
  <si>
    <t>Gil</t>
  </si>
  <si>
    <t>Grajek</t>
  </si>
  <si>
    <t>Hołub</t>
  </si>
  <si>
    <t>Jarmoła</t>
  </si>
  <si>
    <t>Kaszyca</t>
  </si>
  <si>
    <t>Kliś</t>
  </si>
  <si>
    <t>Kłos</t>
  </si>
  <si>
    <t>Kogut</t>
  </si>
  <si>
    <t>Kontek</t>
  </si>
  <si>
    <t>Lis</t>
  </si>
  <si>
    <t>Lisek</t>
  </si>
  <si>
    <t>Mac</t>
  </si>
  <si>
    <t>Makówka</t>
  </si>
  <si>
    <t>Wiktor</t>
  </si>
  <si>
    <t>Markowicz</t>
  </si>
  <si>
    <t>Misztal</t>
  </si>
  <si>
    <t>Olbrycht</t>
  </si>
  <si>
    <t>Rupar</t>
  </si>
  <si>
    <t>Solarz</t>
  </si>
  <si>
    <t>Martyna</t>
  </si>
  <si>
    <t>Szczyrba</t>
  </si>
  <si>
    <t>Szpytma</t>
  </si>
  <si>
    <t>Urszula</t>
  </si>
  <si>
    <t>Walat</t>
  </si>
  <si>
    <t>Paula</t>
  </si>
  <si>
    <t>Zając</t>
  </si>
  <si>
    <t>Zbrocka</t>
  </si>
  <si>
    <t>Bartnik</t>
  </si>
  <si>
    <t>Bednarz</t>
  </si>
  <si>
    <t>Bialic</t>
  </si>
  <si>
    <t>Bieleń</t>
  </si>
  <si>
    <t>Caroline</t>
  </si>
  <si>
    <t>Blat</t>
  </si>
  <si>
    <t>Błachowicz-Kiełb</t>
  </si>
  <si>
    <t>Bartosz</t>
  </si>
  <si>
    <t>Dyrkacz</t>
  </si>
  <si>
    <t>Kaliciak</t>
  </si>
  <si>
    <t>Kisała</t>
  </si>
  <si>
    <t>Krowicki</t>
  </si>
  <si>
    <t>Lew</t>
  </si>
  <si>
    <t>Mączka</t>
  </si>
  <si>
    <t>Michalski</t>
  </si>
  <si>
    <t>Olechowska</t>
  </si>
  <si>
    <t>Ostrowska</t>
  </si>
  <si>
    <t>Piwińska</t>
  </si>
  <si>
    <t>Probola</t>
  </si>
  <si>
    <t>Rajzer</t>
  </si>
  <si>
    <t>Sochacka</t>
  </si>
  <si>
    <t>Szajnar</t>
  </si>
  <si>
    <t>Szlęk</t>
  </si>
  <si>
    <t>Trojnar</t>
  </si>
  <si>
    <t>Wilk</t>
  </si>
  <si>
    <t>Wyszkowska</t>
  </si>
  <si>
    <t>Żuraw</t>
  </si>
  <si>
    <t>Balawejder</t>
  </si>
  <si>
    <t>Buszta</t>
  </si>
  <si>
    <t>Curzytek</t>
  </si>
  <si>
    <t>Cyrulewski</t>
  </si>
  <si>
    <t>Frend</t>
  </si>
  <si>
    <t>Inglot</t>
  </si>
  <si>
    <t>Janusz</t>
  </si>
  <si>
    <t>Jędruchów</t>
  </si>
  <si>
    <t>Kalinowski</t>
  </si>
  <si>
    <t>Kluz</t>
  </si>
  <si>
    <t>Krecz</t>
  </si>
  <si>
    <t>Kud</t>
  </si>
  <si>
    <t>Kusz</t>
  </si>
  <si>
    <t>Litwin</t>
  </si>
  <si>
    <t>Łebkowska</t>
  </si>
  <si>
    <t>Miara</t>
  </si>
  <si>
    <t>Mielcarek</t>
  </si>
  <si>
    <t>Mokrzycka</t>
  </si>
  <si>
    <t>Pado</t>
  </si>
  <si>
    <t>Panek</t>
  </si>
  <si>
    <t>Patraszewska</t>
  </si>
  <si>
    <t>Piech</t>
  </si>
  <si>
    <t>Polak</t>
  </si>
  <si>
    <t>Rak</t>
  </si>
  <si>
    <t>Sadleja</t>
  </si>
  <si>
    <t>Skrobacz</t>
  </si>
  <si>
    <t>Służały</t>
  </si>
  <si>
    <t>Tokarz</t>
  </si>
  <si>
    <t>Węgrzyn</t>
  </si>
  <si>
    <t>brak zadania</t>
  </si>
  <si>
    <t>NI</t>
  </si>
  <si>
    <t>Całka</t>
  </si>
  <si>
    <t>Patrycja Helena</t>
  </si>
  <si>
    <t>Karol Władysław</t>
  </si>
  <si>
    <t>Cezary Karol</t>
  </si>
  <si>
    <t>Magdalena Joanna</t>
  </si>
  <si>
    <t>Mateusz Patryk</t>
  </si>
  <si>
    <t>Mateusz Jan</t>
  </si>
  <si>
    <t>Klaudia Gabriela</t>
  </si>
  <si>
    <t>Sonia Ewa</t>
  </si>
  <si>
    <t>Piotr Marek</t>
  </si>
  <si>
    <t>Julia Elżbieta</t>
  </si>
  <si>
    <t>Mariola Anna</t>
  </si>
  <si>
    <t>Jakub Stanisław</t>
  </si>
  <si>
    <t>Hubert Krzysztof</t>
  </si>
  <si>
    <t>Błażej Antoni</t>
  </si>
  <si>
    <t>Barbara Weronika</t>
  </si>
  <si>
    <t>Patrycja Julia</t>
  </si>
  <si>
    <t>Gabriela Anna</t>
  </si>
  <si>
    <t>Kacper Michał</t>
  </si>
  <si>
    <t>Magdalena Lidia</t>
  </si>
  <si>
    <t>Karolina Katarzyna</t>
  </si>
  <si>
    <t>Katarzyna Dorota</t>
  </si>
  <si>
    <t>Kamila Magdalena</t>
  </si>
  <si>
    <t>Natalia Wiktoria</t>
  </si>
  <si>
    <t>Monika Anna</t>
  </si>
  <si>
    <t>Robert Tadeusz</t>
  </si>
  <si>
    <t>Alicja Paulina</t>
  </si>
  <si>
    <t>Izabela Teresa</t>
  </si>
  <si>
    <t>Sylwia Małgorzata</t>
  </si>
  <si>
    <t>Kaja Zofia</t>
  </si>
  <si>
    <t>Małgorzata Anna</t>
  </si>
  <si>
    <t>Martyna Maria</t>
  </si>
  <si>
    <t>Kinga Maria</t>
  </si>
  <si>
    <t>Mikołaj Miłosz</t>
  </si>
  <si>
    <t>Klaudia Katarzyna</t>
  </si>
  <si>
    <t>Patrycja Daria</t>
  </si>
  <si>
    <t>Remigiusz Józef</t>
  </si>
  <si>
    <t>Judyta Józefa</t>
  </si>
  <si>
    <t>Kamila Maria</t>
  </si>
  <si>
    <t>Patrycja Katarzyna</t>
  </si>
  <si>
    <t>Gabriela Małgorzata</t>
  </si>
  <si>
    <t>Karolina Antonina</t>
  </si>
  <si>
    <t>Andżelika Kinga</t>
  </si>
  <si>
    <t>Karol Stanisław</t>
  </si>
  <si>
    <t>Weronika Łucja</t>
  </si>
  <si>
    <t>Milena Maria</t>
  </si>
  <si>
    <t>Julia Anna</t>
  </si>
  <si>
    <t>Dawid Bronisław</t>
  </si>
  <si>
    <t>Natalia Bernadetta</t>
  </si>
  <si>
    <t>Izabella Beata</t>
  </si>
  <si>
    <t>Jakub Mateusz</t>
  </si>
  <si>
    <t>Wiktoria Rozalia</t>
  </si>
  <si>
    <t>Kinga Weronika</t>
  </si>
  <si>
    <t>Kamil Jakub</t>
  </si>
  <si>
    <t>Paulina Karolina</t>
  </si>
  <si>
    <t>Paulina Natalia</t>
  </si>
  <si>
    <t>Karolina Anna</t>
  </si>
  <si>
    <t>Jerzy Aleksander</t>
  </si>
  <si>
    <t>Jagoda Weronika</t>
  </si>
  <si>
    <t>Seweryn Amadeusz</t>
  </si>
  <si>
    <t>Kacper Antoni</t>
  </si>
  <si>
    <t>Aleksandra Łucja</t>
  </si>
  <si>
    <t>Karolina Wiktoria</t>
  </si>
  <si>
    <t>Dominika Elżbieta</t>
  </si>
  <si>
    <t>Klaudia Wiktoria</t>
  </si>
  <si>
    <t>Miłosz Marek</t>
  </si>
  <si>
    <t>Patryk Andrzej</t>
  </si>
  <si>
    <t>Anna Danuta</t>
  </si>
  <si>
    <t>Weronika Teresa</t>
  </si>
  <si>
    <t>Konrad Aleksandros</t>
  </si>
  <si>
    <t>Katarzyna Zofia</t>
  </si>
  <si>
    <t>Zofia Urszula</t>
  </si>
  <si>
    <t>Gabriela Helena</t>
  </si>
  <si>
    <t>Agnieszka Aleksandra</t>
  </si>
  <si>
    <t>Krystian Adrian</t>
  </si>
  <si>
    <t>Lasek</t>
  </si>
  <si>
    <t>Katarzyna Kamila</t>
  </si>
  <si>
    <t>Joanna Wiktoria</t>
  </si>
  <si>
    <t>Natalia Faustyna</t>
  </si>
  <si>
    <t>Katarzyna Elżbieta</t>
  </si>
  <si>
    <t>Karolina Maria</t>
  </si>
  <si>
    <t>Gabriela Zofia</t>
  </si>
  <si>
    <t>Milena Anna</t>
  </si>
  <si>
    <t>Katarzyna Maria</t>
  </si>
  <si>
    <t>Weronika Edyta</t>
  </si>
  <si>
    <t>Natalia Łucja</t>
  </si>
  <si>
    <t>Ignacy Hubert</t>
  </si>
  <si>
    <t>Martyna Małgorzata</t>
  </si>
  <si>
    <t>Wiktoria Małgorzata</t>
  </si>
  <si>
    <t>Julia Maria</t>
  </si>
  <si>
    <t>Sławomir Józef</t>
  </si>
  <si>
    <t>Grzegorz Marek</t>
  </si>
  <si>
    <t>Klaudia Elżbieta</t>
  </si>
  <si>
    <t>Aleksandra Magdalena</t>
  </si>
  <si>
    <t>Arnika Ewa</t>
  </si>
  <si>
    <t>Wojnar</t>
  </si>
  <si>
    <t>Aleksandra Ewa</t>
  </si>
  <si>
    <t>Dominika Magdalena</t>
  </si>
  <si>
    <t>inne</t>
  </si>
  <si>
    <t>Eryk Jakub</t>
  </si>
  <si>
    <t>Krystian</t>
  </si>
  <si>
    <t>nie można otworzyć pliku</t>
  </si>
  <si>
    <t>nieobecna</t>
  </si>
  <si>
    <t>nieobecny</t>
  </si>
  <si>
    <t>nieobecna 19/03</t>
  </si>
  <si>
    <t>polacy</t>
  </si>
  <si>
    <t>plik się źle otwiera</t>
  </si>
  <si>
    <t>plik z ćwiczeniami</t>
  </si>
  <si>
    <t>arch</t>
  </si>
  <si>
    <t>6-</t>
  </si>
  <si>
    <t>źle się otwiera</t>
  </si>
  <si>
    <t>Szarek</t>
  </si>
  <si>
    <t>wysłane ćwiczenia z lekcji</t>
  </si>
  <si>
    <t>Cyran</t>
  </si>
  <si>
    <t>Drozd</t>
  </si>
  <si>
    <t>Fajger</t>
  </si>
  <si>
    <t>Sabina</t>
  </si>
  <si>
    <t>Glac</t>
  </si>
  <si>
    <t>Grzesik</t>
  </si>
  <si>
    <t>Gut</t>
  </si>
  <si>
    <t>Oliwer</t>
  </si>
  <si>
    <t>Gwizdak</t>
  </si>
  <si>
    <t>Hadała</t>
  </si>
  <si>
    <t>Haładyj</t>
  </si>
  <si>
    <t>Kiełbicka</t>
  </si>
  <si>
    <t>Kolek</t>
  </si>
  <si>
    <t>Leja</t>
  </si>
  <si>
    <t>Niemas</t>
  </si>
  <si>
    <t>Nycz</t>
  </si>
  <si>
    <t>Pera</t>
  </si>
  <si>
    <t>Piątek</t>
  </si>
  <si>
    <t>Potęga</t>
  </si>
  <si>
    <t>Rachwał</t>
  </si>
  <si>
    <t>Skawina</t>
  </si>
  <si>
    <t>Styś</t>
  </si>
  <si>
    <t>Szczepański</t>
  </si>
  <si>
    <t>Szura</t>
  </si>
  <si>
    <t>Świątoniowska</t>
  </si>
  <si>
    <t>Wanowicz</t>
  </si>
  <si>
    <t>Wojak</t>
  </si>
  <si>
    <t>Zalot</t>
  </si>
  <si>
    <t>Źrałka</t>
  </si>
  <si>
    <t>Paweł</t>
  </si>
  <si>
    <t>Bernadeta</t>
  </si>
  <si>
    <t>Czarnota</t>
  </si>
  <si>
    <t>Gamracy</t>
  </si>
  <si>
    <t>Konieczna</t>
  </si>
  <si>
    <t>Kosior</t>
  </si>
  <si>
    <t>Marta</t>
  </si>
  <si>
    <t>Lęcznar</t>
  </si>
  <si>
    <t>Łątka</t>
  </si>
  <si>
    <t>Majkut</t>
  </si>
  <si>
    <t>Markowska</t>
  </si>
  <si>
    <t>Mucha</t>
  </si>
  <si>
    <t>Pelc</t>
  </si>
  <si>
    <t>Turakiewicz</t>
  </si>
  <si>
    <t>Welc</t>
  </si>
  <si>
    <t>Woś</t>
  </si>
  <si>
    <t>Wyczarski</t>
  </si>
  <si>
    <t>Zieliński</t>
  </si>
  <si>
    <t>Poterek</t>
  </si>
  <si>
    <t>Augustynowicz</t>
  </si>
  <si>
    <t>Borcz</t>
  </si>
  <si>
    <t>Bouteben</t>
  </si>
  <si>
    <t>Yasmine</t>
  </si>
  <si>
    <t>Brzezińska</t>
  </si>
  <si>
    <t>Bury</t>
  </si>
  <si>
    <t>Curkowicz</t>
  </si>
  <si>
    <t>Cwynar</t>
  </si>
  <si>
    <t>Czyrek</t>
  </si>
  <si>
    <t>Fudali</t>
  </si>
  <si>
    <t>Kielar</t>
  </si>
  <si>
    <t>Sarah</t>
  </si>
  <si>
    <t>Kochmańska</t>
  </si>
  <si>
    <t>Konopko</t>
  </si>
  <si>
    <t>Kusiak</t>
  </si>
  <si>
    <t>Kuźniar</t>
  </si>
  <si>
    <t>Łuksik</t>
  </si>
  <si>
    <t>Malik</t>
  </si>
  <si>
    <t>Marek</t>
  </si>
  <si>
    <t>Maziarz</t>
  </si>
  <si>
    <t>Nabo</t>
  </si>
  <si>
    <t>Nawojska</t>
  </si>
  <si>
    <t>Orłoś</t>
  </si>
  <si>
    <t>Petrykowska</t>
  </si>
  <si>
    <t>Pyter</t>
  </si>
  <si>
    <t>Wałczyk</t>
  </si>
  <si>
    <t>Wierzbicka</t>
  </si>
  <si>
    <t>Anita</t>
  </si>
  <si>
    <t>Wiśniowska</t>
  </si>
  <si>
    <t>Bosak</t>
  </si>
  <si>
    <t>Figiela</t>
  </si>
  <si>
    <t>Frankowicz</t>
  </si>
  <si>
    <t>Herbert</t>
  </si>
  <si>
    <t>Hipnar</t>
  </si>
  <si>
    <t>Jaroń</t>
  </si>
  <si>
    <t>Kot</t>
  </si>
  <si>
    <t>Król</t>
  </si>
  <si>
    <t>Kula</t>
  </si>
  <si>
    <t>Mazur</t>
  </si>
  <si>
    <t>Sołtysiak</t>
  </si>
  <si>
    <t>Stopa</t>
  </si>
  <si>
    <t>Wawryszko</t>
  </si>
  <si>
    <t>Żuczek</t>
  </si>
  <si>
    <t>Norbert</t>
  </si>
  <si>
    <t>e</t>
  </si>
  <si>
    <t>Blajer</t>
  </si>
  <si>
    <t>Cisek</t>
  </si>
  <si>
    <t>Czechowicz</t>
  </si>
  <si>
    <t>Hałas</t>
  </si>
  <si>
    <t>Jaszek</t>
  </si>
  <si>
    <t>Kręcichwost</t>
  </si>
  <si>
    <t>Maj</t>
  </si>
  <si>
    <t>Malec</t>
  </si>
  <si>
    <t>Marcinek</t>
  </si>
  <si>
    <t>Nowak</t>
  </si>
  <si>
    <t>Puczkowska</t>
  </si>
  <si>
    <t>Pytel</t>
  </si>
  <si>
    <t>Szołdra</t>
  </si>
  <si>
    <t>Ślęk</t>
  </si>
  <si>
    <t>Telega</t>
  </si>
  <si>
    <t>Malski</t>
  </si>
  <si>
    <t>próbna</t>
  </si>
  <si>
    <t>Maja</t>
  </si>
  <si>
    <t>Maria</t>
  </si>
  <si>
    <t>Bogusław</t>
  </si>
  <si>
    <t>Izabela</t>
  </si>
  <si>
    <t>Piotr</t>
  </si>
  <si>
    <t>Andżelika</t>
  </si>
  <si>
    <t>Edyta</t>
  </si>
  <si>
    <t>Barbara</t>
  </si>
  <si>
    <t>Grzegorz</t>
  </si>
  <si>
    <t>Beata</t>
  </si>
  <si>
    <t>Miłosz</t>
  </si>
  <si>
    <t>Amelia</t>
  </si>
  <si>
    <t>Remigiusz</t>
  </si>
  <si>
    <t>Filip</t>
  </si>
  <si>
    <t>Marcelina</t>
  </si>
  <si>
    <t>Marika</t>
  </si>
  <si>
    <t>Aniela</t>
  </si>
  <si>
    <t>Jagoda</t>
  </si>
  <si>
    <t>Avin</t>
  </si>
  <si>
    <t>Nikodem</t>
  </si>
  <si>
    <t>Dominika</t>
  </si>
  <si>
    <t>Daria</t>
  </si>
  <si>
    <t>rozszerzenie pliku inne niż oryginalne</t>
  </si>
  <si>
    <t>błędna nazwa pliku</t>
  </si>
  <si>
    <t>Sitka Small</t>
  </si>
  <si>
    <t xml:space="preserve"> </t>
  </si>
  <si>
    <t>spacje!!!</t>
  </si>
  <si>
    <t>spacje i rozstrzelenie!</t>
  </si>
  <si>
    <t>nie zgłosiła się w terminie</t>
  </si>
  <si>
    <t>brak pliku z zadaniem</t>
  </si>
  <si>
    <t>nie zgłosił się w terminie</t>
  </si>
  <si>
    <t>rozszerzenia nazw!</t>
  </si>
  <si>
    <t>pole OD, rozszerzenia nazw!</t>
  </si>
  <si>
    <t>Szelc</t>
  </si>
  <si>
    <t>rozszerzenia nazw!, brak drugiej strony</t>
  </si>
  <si>
    <t>podobna do pracy R.Wojak</t>
  </si>
  <si>
    <t>nazywanie plików!</t>
  </si>
  <si>
    <t>puste akapity!, kropki zamiast tabulatorów</t>
  </si>
  <si>
    <t>rozszerzenia nazw!, nazwa pliku!</t>
  </si>
  <si>
    <t>rozszerzenia nazw!, kopia pracy P.Pera</t>
  </si>
  <si>
    <t>rozszerzenia nazw!, kopia pracy M.Szura</t>
  </si>
  <si>
    <t>brak drugiej strony zaproszenia</t>
  </si>
  <si>
    <t>rozszerzenia nazw!, niepotrzebne znaki nowej linii i akapitu</t>
  </si>
  <si>
    <t>kopia pracy R. Wojak</t>
  </si>
  <si>
    <t>temat, rozszerzenia nazw, puste akapity, niepotrzebne tabulatory</t>
  </si>
  <si>
    <t>kopia pracy A.Piątek</t>
  </si>
  <si>
    <t>źle nazwane pliki - brak możliwości oceny</t>
  </si>
  <si>
    <t>rozszerzenia nazw!, puste akapity, zbędne tabulatory</t>
  </si>
  <si>
    <t>puste akapity!, zbędne tabulatory i podziały sekcji!</t>
  </si>
  <si>
    <t>zbędne tabulatory i puste akapity</t>
  </si>
  <si>
    <t>rozszerzenia nazw!, kropki zamiast tabulatorów, dziwne wcięcia</t>
  </si>
  <si>
    <t>puste akapity!, tabela zamiast tabulatorów</t>
  </si>
  <si>
    <t>puste akapity!, kopia pracy W.Wyczarski</t>
  </si>
  <si>
    <t>puste akapity!, kopia pracy J. Zieliński</t>
  </si>
  <si>
    <t>zbędne tabulatory, kropki zamiast tabulatorów, nazwa pliku, dwa maile</t>
  </si>
  <si>
    <t>puste akapity!, spacje</t>
  </si>
  <si>
    <t>źle stosowane tabulatory, kropki zamiast tabulatorów</t>
  </si>
  <si>
    <t>spacje!!!, rozszerzenie nazw!</t>
  </si>
  <si>
    <t>rozszerzenie nazwy!, białe znaki</t>
  </si>
  <si>
    <t>rozszerzenia nazw!, źle przygotowane tabulatory</t>
  </si>
  <si>
    <t>rozszerzenie nazwy!, kropki zamiast tabulatorów, błędy, jedna część zadania</t>
  </si>
  <si>
    <t>problem z otwarciem pliku (błędne rozszerzenie), źle nazwany drugi plik</t>
  </si>
  <si>
    <t>niepotrzebne białe znaki!</t>
  </si>
  <si>
    <t>puste akapity!, kopia pracy K.Janusz, K.Bester</t>
  </si>
  <si>
    <t>puste akapity!, kopia pracy K.Bester, M.Mazur</t>
  </si>
  <si>
    <t>puste akapity!, kopia pracy K.Janusz, M.Mazur</t>
  </si>
  <si>
    <t>puste akapity!, kopia pracy K.Bester, K.Janusz itd..</t>
  </si>
  <si>
    <t>puste akapity!, kopia pracy K.Janusz, K.Bester i inni</t>
  </si>
  <si>
    <t>spóźnienie</t>
  </si>
  <si>
    <t>zwolniona</t>
  </si>
  <si>
    <t>kopia pracy J.Dudek 1c</t>
  </si>
  <si>
    <t>pole OD, kopia pracy Sz.Panek 1d</t>
  </si>
  <si>
    <t>puste akapity!, kopia pracy innych osób</t>
  </si>
  <si>
    <t>puste akapity!</t>
  </si>
  <si>
    <t>rozszerzenie nazw</t>
  </si>
  <si>
    <t>rozszerzenia nazw</t>
  </si>
  <si>
    <t>rozszerzenia nazw, pusty akapit, niepotrzebne tabulatory</t>
  </si>
  <si>
    <t>pole od</t>
  </si>
  <si>
    <t>rozszerzenia nazw!, niepotrzebne ustawianie tabulatorów</t>
  </si>
  <si>
    <t>tylko pierwsza część zadania, liczne niepotrzebne białe znaki, tabela zamiast tabulatorów</t>
  </si>
  <si>
    <t>rozszerzenie nazwy!, niepotrzebne białe znaki, brak tabulatorów, tabele zamiast tabulatorów</t>
  </si>
  <si>
    <t>nie wykonana druga część zadania</t>
  </si>
  <si>
    <t>rozszerzenia nazw!, puste akapity!!</t>
  </si>
  <si>
    <t>puste akapity i podział sekcji w wyprawach!</t>
  </si>
  <si>
    <t>brak drugiej części zadania, puste akapity</t>
  </si>
  <si>
    <t>temat!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</si>
</sst>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* #,##0.00\ &quot;zł&quot;_-;\-* #,##0.00\ &quot;zł&quot;_-;_-* &quot;-&quot;??\ &quot;zł&quot;_-;_-@_-"/>
    <numFmt numFmtId="164" formatCode="0.0%"/>
    <numFmt numFmtId="165" formatCode="0.000"/>
    <numFmt numFmtId="166" formatCode="0.0000"/>
  </numFmts>
  <fonts count="15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ndara"/>
      <family val="2"/>
      <charset val="238"/>
    </font>
    <font>
      <sz val="11"/>
      <color theme="3" tint="0.39997558519241921"/>
      <name val="Candara"/>
      <family val="2"/>
      <charset val="238"/>
    </font>
    <font>
      <sz val="16"/>
      <color rgb="FFFFFF00"/>
      <name val="Adobe Gothic Std B"/>
      <family val="2"/>
      <charset val="128"/>
    </font>
    <font>
      <b/>
      <sz val="12"/>
      <color rgb="FFFFFF00"/>
      <name val="Adobe Gothic Std B"/>
      <family val="2"/>
      <charset val="128"/>
    </font>
    <font>
      <sz val="12"/>
      <color rgb="FFFFFF00"/>
      <name val="Adobe Gothic Std B"/>
      <family val="2"/>
      <charset val="128"/>
    </font>
    <font>
      <sz val="11"/>
      <color theme="1"/>
      <name val="Rockwell"/>
      <family val="1"/>
    </font>
    <font>
      <sz val="11"/>
      <color theme="3" tint="0.39997558519241921"/>
      <name val="Gadugi"/>
      <family val="2"/>
    </font>
    <font>
      <sz val="11"/>
      <color theme="1"/>
      <name val="Gadugi"/>
      <family val="2"/>
    </font>
    <font>
      <sz val="10"/>
      <name val="Gadugi"/>
      <family val="2"/>
    </font>
    <font>
      <sz val="10"/>
      <color indexed="8"/>
      <name val="Gadugi"/>
      <family val="2"/>
    </font>
    <font>
      <sz val="10"/>
      <color theme="3" tint="0.39997558519241921"/>
      <name val="Gadugi"/>
      <family val="2"/>
    </font>
    <font>
      <sz val="10"/>
      <color theme="1"/>
      <name val="Gadugi"/>
      <family val="2"/>
    </font>
    <font>
      <b/>
      <sz val="10"/>
      <color theme="1"/>
      <name val="Gadugi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896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8"/>
      </patternFill>
    </fill>
  </fills>
  <borders count="1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 style="dotted">
        <color auto="1"/>
      </bottom>
      <diagonal/>
    </border>
    <border>
      <left style="thin">
        <color indexed="64"/>
      </left>
      <right/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indexed="64"/>
      </top>
      <bottom style="dotted">
        <color auto="1"/>
      </bottom>
      <diagonal/>
    </border>
    <border>
      <left/>
      <right style="thin">
        <color indexed="64"/>
      </right>
      <top style="dotted">
        <color auto="1"/>
      </top>
      <bottom style="dotted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auto="1"/>
      </bottom>
      <diagonal/>
    </border>
    <border>
      <left/>
      <right style="medium">
        <color indexed="64"/>
      </right>
      <top style="thin">
        <color indexed="64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dotted">
        <color auto="1"/>
      </top>
      <bottom style="medium">
        <color indexed="64"/>
      </bottom>
      <diagonal/>
    </border>
    <border>
      <left/>
      <right/>
      <top style="dotted">
        <color auto="1"/>
      </top>
      <bottom style="medium">
        <color indexed="64"/>
      </bottom>
      <diagonal/>
    </border>
    <border>
      <left style="thin">
        <color indexed="64"/>
      </left>
      <right/>
      <top style="dotted">
        <color auto="1"/>
      </top>
      <bottom style="medium">
        <color indexed="64"/>
      </bottom>
      <diagonal/>
    </border>
    <border>
      <left/>
      <right style="thin">
        <color indexed="64"/>
      </right>
      <top style="dotted">
        <color auto="1"/>
      </top>
      <bottom style="medium">
        <color indexed="64"/>
      </bottom>
      <diagonal/>
    </border>
    <border>
      <left/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dashed">
        <color indexed="64"/>
      </top>
      <bottom style="double">
        <color indexed="64"/>
      </bottom>
      <diagonal/>
    </border>
    <border>
      <left/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ashed">
        <color indexed="64"/>
      </bottom>
      <diagonal/>
    </border>
    <border>
      <left/>
      <right/>
      <top style="double">
        <color indexed="64"/>
      </top>
      <bottom style="dashed">
        <color indexed="64"/>
      </bottom>
      <diagonal/>
    </border>
    <border>
      <left/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ashed">
        <color indexed="64"/>
      </bottom>
      <diagonal/>
    </border>
    <border>
      <left/>
      <right style="thin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ashed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ashed">
        <color indexed="64"/>
      </bottom>
      <diagonal/>
    </border>
    <border>
      <left style="hair">
        <color indexed="64"/>
      </left>
      <right/>
      <top style="double">
        <color indexed="64"/>
      </top>
      <bottom style="dashed">
        <color indexed="64"/>
      </bottom>
      <diagonal/>
    </border>
    <border>
      <left style="medium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hair">
        <color indexed="64"/>
      </right>
      <top style="dashed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ashed">
        <color indexed="64"/>
      </top>
      <bottom style="double">
        <color indexed="64"/>
      </bottom>
      <diagonal/>
    </border>
    <border>
      <left style="hair">
        <color indexed="64"/>
      </left>
      <right/>
      <top style="dashed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medium">
        <color indexed="64"/>
      </right>
      <top style="dotted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2">
    <xf numFmtId="0" fontId="0" fillId="0" borderId="0" xfId="0"/>
    <xf numFmtId="14" fontId="0" fillId="0" borderId="0" xfId="0" applyNumberFormat="1"/>
    <xf numFmtId="44" fontId="0" fillId="0" borderId="0" xfId="0" applyNumberFormat="1"/>
    <xf numFmtId="0" fontId="2" fillId="0" borderId="10" xfId="0" applyFont="1" applyFill="1" applyBorder="1"/>
    <xf numFmtId="0" fontId="2" fillId="0" borderId="11" xfId="0" applyFont="1" applyFill="1" applyBorder="1"/>
    <xf numFmtId="0" fontId="2" fillId="0" borderId="14" xfId="0" applyFont="1" applyFill="1" applyBorder="1"/>
    <xf numFmtId="0" fontId="2" fillId="0" borderId="15" xfId="0" applyFont="1" applyFill="1" applyBorder="1"/>
    <xf numFmtId="0" fontId="3" fillId="2" borderId="2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 textRotation="90"/>
    </xf>
    <xf numFmtId="0" fontId="3" fillId="2" borderId="3" xfId="0" applyFont="1" applyFill="1" applyBorder="1" applyAlignment="1">
      <alignment horizontal="center" vertical="center" textRotation="90"/>
    </xf>
    <xf numFmtId="0" fontId="2" fillId="0" borderId="0" xfId="0" applyFont="1"/>
    <xf numFmtId="0" fontId="3" fillId="2" borderId="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2" fillId="0" borderId="11" xfId="0" applyNumberFormat="1" applyFont="1" applyFill="1" applyBorder="1"/>
    <xf numFmtId="164" fontId="2" fillId="0" borderId="11" xfId="1" applyNumberFormat="1" applyFont="1" applyFill="1" applyBorder="1"/>
    <xf numFmtId="0" fontId="2" fillId="0" borderId="12" xfId="0" applyFont="1" applyFill="1" applyBorder="1"/>
    <xf numFmtId="0" fontId="2" fillId="0" borderId="13" xfId="0" applyFont="1" applyFill="1" applyBorder="1"/>
    <xf numFmtId="0" fontId="2" fillId="0" borderId="0" xfId="0" applyFont="1" applyFill="1"/>
    <xf numFmtId="14" fontId="2" fillId="0" borderId="15" xfId="0" applyNumberFormat="1" applyFont="1" applyFill="1" applyBorder="1"/>
    <xf numFmtId="164" fontId="2" fillId="0" borderId="15" xfId="1" applyNumberFormat="1" applyFont="1" applyFill="1" applyBorder="1"/>
    <xf numFmtId="0" fontId="2" fillId="0" borderId="16" xfId="0" applyFont="1" applyFill="1" applyBorder="1"/>
    <xf numFmtId="0" fontId="2" fillId="0" borderId="17" xfId="0" applyFont="1" applyFill="1" applyBorder="1"/>
    <xf numFmtId="0" fontId="2" fillId="0" borderId="18" xfId="0" applyFont="1" applyFill="1" applyBorder="1"/>
    <xf numFmtId="0" fontId="2" fillId="0" borderId="19" xfId="0" applyFont="1" applyFill="1" applyBorder="1"/>
    <xf numFmtId="14" fontId="2" fillId="0" borderId="19" xfId="0" applyNumberFormat="1" applyFont="1" applyFill="1" applyBorder="1"/>
    <xf numFmtId="164" fontId="2" fillId="0" borderId="19" xfId="1" applyNumberFormat="1" applyFont="1" applyFill="1" applyBorder="1"/>
    <xf numFmtId="0" fontId="2" fillId="0" borderId="20" xfId="0" applyFont="1" applyFill="1" applyBorder="1"/>
    <xf numFmtId="0" fontId="2" fillId="0" borderId="21" xfId="0" applyFont="1" applyFill="1" applyBorder="1"/>
    <xf numFmtId="0" fontId="2" fillId="0" borderId="0" xfId="0" applyFont="1" applyAlignment="1">
      <alignment horizontal="center"/>
    </xf>
    <xf numFmtId="0" fontId="2" fillId="0" borderId="15" xfId="0" applyFont="1" applyBorder="1"/>
    <xf numFmtId="0" fontId="2" fillId="0" borderId="19" xfId="0" applyFont="1" applyBorder="1"/>
    <xf numFmtId="0" fontId="2" fillId="0" borderId="15" xfId="0" applyFont="1" applyFill="1" applyBorder="1" applyAlignment="1">
      <alignment horizontal="center"/>
    </xf>
    <xf numFmtId="0" fontId="2" fillId="0" borderId="11" xfId="0" applyFont="1" applyBorder="1"/>
    <xf numFmtId="0" fontId="0" fillId="0" borderId="0" xfId="0" applyAlignment="1">
      <alignment horizontal="center"/>
    </xf>
    <xf numFmtId="0" fontId="2" fillId="0" borderId="10" xfId="0" applyFont="1" applyBorder="1"/>
    <xf numFmtId="0" fontId="2" fillId="0" borderId="14" xfId="0" applyFont="1" applyBorder="1"/>
    <xf numFmtId="14" fontId="2" fillId="0" borderId="17" xfId="0" applyNumberFormat="1" applyFont="1" applyFill="1" applyBorder="1"/>
    <xf numFmtId="0" fontId="2" fillId="0" borderId="18" xfId="0" applyFont="1" applyBorder="1"/>
    <xf numFmtId="0" fontId="2" fillId="0" borderId="13" xfId="0" applyFont="1" applyBorder="1"/>
    <xf numFmtId="0" fontId="2" fillId="0" borderId="17" xfId="0" applyFont="1" applyBorder="1"/>
    <xf numFmtId="0" fontId="2" fillId="0" borderId="21" xfId="0" applyFont="1" applyBorder="1"/>
    <xf numFmtId="14" fontId="2" fillId="0" borderId="0" xfId="0" applyNumberFormat="1" applyFont="1"/>
    <xf numFmtId="0" fontId="2" fillId="0" borderId="23" xfId="0" applyFont="1" applyFill="1" applyBorder="1"/>
    <xf numFmtId="14" fontId="2" fillId="0" borderId="23" xfId="0" applyNumberFormat="1" applyFont="1" applyFill="1" applyBorder="1"/>
    <xf numFmtId="22" fontId="2" fillId="0" borderId="0" xfId="0" applyNumberFormat="1" applyFont="1"/>
    <xf numFmtId="0" fontId="2" fillId="0" borderId="24" xfId="0" applyFont="1" applyFill="1" applyBorder="1"/>
    <xf numFmtId="0" fontId="3" fillId="2" borderId="8" xfId="0" applyFont="1" applyFill="1" applyBorder="1" applyAlignment="1">
      <alignment horizontal="center" vertical="center" textRotation="90"/>
    </xf>
    <xf numFmtId="0" fontId="3" fillId="2" borderId="10" xfId="0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 textRotation="90"/>
    </xf>
    <xf numFmtId="0" fontId="3" fillId="2" borderId="13" xfId="0" applyFont="1" applyFill="1" applyBorder="1" applyAlignment="1">
      <alignment horizontal="center" vertical="center" textRotation="90"/>
    </xf>
    <xf numFmtId="0" fontId="2" fillId="0" borderId="19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14" fontId="2" fillId="0" borderId="14" xfId="0" applyNumberFormat="1" applyFont="1" applyFill="1" applyBorder="1"/>
    <xf numFmtId="14" fontId="2" fillId="0" borderId="18" xfId="0" applyNumberFormat="1" applyFont="1" applyFill="1" applyBorder="1"/>
    <xf numFmtId="14" fontId="2" fillId="0" borderId="10" xfId="0" applyNumberFormat="1" applyFont="1" applyFill="1" applyBorder="1"/>
    <xf numFmtId="0" fontId="2" fillId="0" borderId="22" xfId="0" applyFont="1" applyBorder="1"/>
    <xf numFmtId="0" fontId="2" fillId="0" borderId="23" xfId="0" applyFont="1" applyBorder="1"/>
    <xf numFmtId="0" fontId="0" fillId="0" borderId="0" xfId="0" applyAlignment="1">
      <alignment vertical="center"/>
    </xf>
    <xf numFmtId="0" fontId="7" fillId="0" borderId="31" xfId="0" applyFont="1" applyBorder="1" applyAlignment="1">
      <alignment vertical="center"/>
    </xf>
    <xf numFmtId="9" fontId="7" fillId="0" borderId="26" xfId="1" applyNumberFormat="1" applyFont="1" applyBorder="1" applyAlignment="1">
      <alignment vertical="center"/>
    </xf>
    <xf numFmtId="9" fontId="7" fillId="0" borderId="28" xfId="1" applyNumberFormat="1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9" fontId="7" fillId="0" borderId="27" xfId="1" applyNumberFormat="1" applyFont="1" applyBorder="1" applyAlignment="1">
      <alignment vertical="center"/>
    </xf>
    <xf numFmtId="9" fontId="7" fillId="0" borderId="29" xfId="1" applyNumberFormat="1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9" fontId="7" fillId="0" borderId="27" xfId="1" applyFont="1" applyBorder="1" applyAlignment="1">
      <alignment vertical="center"/>
    </xf>
    <xf numFmtId="9" fontId="7" fillId="0" borderId="29" xfId="1" applyFont="1" applyBorder="1" applyAlignment="1">
      <alignment vertical="center"/>
    </xf>
    <xf numFmtId="0" fontId="4" fillId="3" borderId="34" xfId="0" applyFont="1" applyFill="1" applyBorder="1" applyAlignment="1">
      <alignment vertical="center"/>
    </xf>
    <xf numFmtId="0" fontId="6" fillId="4" borderId="36" xfId="0" applyFont="1" applyFill="1" applyBorder="1" applyAlignment="1">
      <alignment horizontal="center" vertical="center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7" fillId="0" borderId="45" xfId="0" applyFont="1" applyBorder="1" applyAlignment="1">
      <alignment horizontal="center" vertical="center"/>
    </xf>
    <xf numFmtId="9" fontId="7" fillId="0" borderId="43" xfId="1" applyFont="1" applyBorder="1" applyAlignment="1">
      <alignment vertical="center"/>
    </xf>
    <xf numFmtId="9" fontId="7" fillId="0" borderId="44" xfId="1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textRotation="90"/>
    </xf>
    <xf numFmtId="0" fontId="3" fillId="2" borderId="10" xfId="0" applyFont="1" applyFill="1" applyBorder="1" applyAlignment="1">
      <alignment horizontal="center" vertical="center" textRotation="90" wrapText="1"/>
    </xf>
    <xf numFmtId="0" fontId="3" fillId="2" borderId="11" xfId="0" applyFont="1" applyFill="1" applyBorder="1" applyAlignment="1">
      <alignment horizontal="center" vertical="center" textRotation="90" wrapText="1"/>
    </xf>
    <xf numFmtId="0" fontId="3" fillId="2" borderId="13" xfId="0" applyFont="1" applyFill="1" applyBorder="1" applyAlignment="1">
      <alignment horizontal="center" vertical="center" textRotation="90" wrapText="1"/>
    </xf>
    <xf numFmtId="1" fontId="2" fillId="0" borderId="15" xfId="0" applyNumberFormat="1" applyFont="1" applyFill="1" applyBorder="1"/>
    <xf numFmtId="1" fontId="2" fillId="0" borderId="19" xfId="0" applyNumberFormat="1" applyFont="1" applyFill="1" applyBorder="1"/>
    <xf numFmtId="1" fontId="2" fillId="0" borderId="11" xfId="0" applyNumberFormat="1" applyFont="1" applyFill="1" applyBorder="1"/>
    <xf numFmtId="14" fontId="2" fillId="0" borderId="13" xfId="0" applyNumberFormat="1" applyFont="1" applyFill="1" applyBorder="1"/>
    <xf numFmtId="0" fontId="2" fillId="0" borderId="47" xfId="0" applyFont="1" applyBorder="1"/>
    <xf numFmtId="0" fontId="2" fillId="0" borderId="47" xfId="0" applyFont="1" applyFill="1" applyBorder="1"/>
    <xf numFmtId="0" fontId="2" fillId="0" borderId="48" xfId="0" applyFont="1" applyBorder="1"/>
    <xf numFmtId="14" fontId="2" fillId="0" borderId="21" xfId="0" applyNumberFormat="1" applyFont="1" applyFill="1" applyBorder="1"/>
    <xf numFmtId="14" fontId="2" fillId="0" borderId="47" xfId="0" applyNumberFormat="1" applyFont="1" applyFill="1" applyBorder="1"/>
    <xf numFmtId="14" fontId="2" fillId="0" borderId="48" xfId="0" applyNumberFormat="1" applyFont="1" applyFill="1" applyBorder="1"/>
    <xf numFmtId="2" fontId="2" fillId="0" borderId="47" xfId="0" applyNumberFormat="1" applyFont="1" applyFill="1" applyBorder="1"/>
    <xf numFmtId="1" fontId="2" fillId="0" borderId="47" xfId="0" applyNumberFormat="1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90"/>
    </xf>
    <xf numFmtId="14" fontId="2" fillId="0" borderId="14" xfId="0" quotePrefix="1" applyNumberFormat="1" applyFont="1" applyFill="1" applyBorder="1"/>
    <xf numFmtId="14" fontId="2" fillId="0" borderId="18" xfId="0" quotePrefix="1" applyNumberFormat="1" applyFont="1" applyFill="1" applyBorder="1"/>
    <xf numFmtId="2" fontId="2" fillId="0" borderId="11" xfId="0" applyNumberFormat="1" applyFont="1" applyFill="1" applyBorder="1"/>
    <xf numFmtId="2" fontId="2" fillId="0" borderId="15" xfId="0" applyNumberFormat="1" applyFont="1" applyFill="1" applyBorder="1"/>
    <xf numFmtId="2" fontId="2" fillId="0" borderId="19" xfId="0" applyNumberFormat="1" applyFont="1" applyFill="1" applyBorder="1"/>
    <xf numFmtId="1" fontId="3" fillId="2" borderId="23" xfId="0" applyNumberFormat="1" applyFont="1" applyFill="1" applyBorder="1" applyAlignment="1">
      <alignment horizontal="center" vertical="center"/>
    </xf>
    <xf numFmtId="0" fontId="2" fillId="0" borderId="11" xfId="1" applyNumberFormat="1" applyFont="1" applyFill="1" applyBorder="1" applyAlignment="1">
      <alignment horizontal="center"/>
    </xf>
    <xf numFmtId="0" fontId="2" fillId="0" borderId="15" xfId="1" applyNumberFormat="1" applyFont="1" applyFill="1" applyBorder="1" applyAlignment="1">
      <alignment horizontal="center"/>
    </xf>
    <xf numFmtId="0" fontId="2" fillId="0" borderId="19" xfId="1" applyNumberFormat="1" applyFont="1" applyFill="1" applyBorder="1" applyAlignment="1">
      <alignment horizontal="center"/>
    </xf>
    <xf numFmtId="0" fontId="2" fillId="0" borderId="46" xfId="0" applyFont="1" applyFill="1" applyBorder="1"/>
    <xf numFmtId="0" fontId="2" fillId="0" borderId="48" xfId="0" applyFont="1" applyFill="1" applyBorder="1"/>
    <xf numFmtId="14" fontId="2" fillId="0" borderId="46" xfId="0" quotePrefix="1" applyNumberFormat="1" applyFont="1" applyFill="1" applyBorder="1"/>
    <xf numFmtId="0" fontId="2" fillId="0" borderId="47" xfId="1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Fill="1" applyBorder="1"/>
    <xf numFmtId="14" fontId="2" fillId="0" borderId="21" xfId="0" applyNumberFormat="1" applyFont="1" applyBorder="1"/>
    <xf numFmtId="14" fontId="2" fillId="0" borderId="17" xfId="0" applyNumberFormat="1" applyFont="1" applyBorder="1"/>
    <xf numFmtId="14" fontId="2" fillId="0" borderId="24" xfId="0" applyNumberFormat="1" applyFont="1" applyBorder="1"/>
    <xf numFmtId="14" fontId="2" fillId="0" borderId="13" xfId="0" applyNumberFormat="1" applyFont="1" applyBorder="1"/>
    <xf numFmtId="0" fontId="3" fillId="2" borderId="0" xfId="0" applyFont="1" applyFill="1" applyAlignment="1">
      <alignment horizontal="center" vertical="center" wrapText="1"/>
    </xf>
    <xf numFmtId="0" fontId="2" fillId="0" borderId="19" xfId="0" applyNumberFormat="1" applyFont="1" applyBorder="1"/>
    <xf numFmtId="14" fontId="2" fillId="0" borderId="19" xfId="0" applyNumberFormat="1" applyFont="1" applyBorder="1"/>
    <xf numFmtId="14" fontId="2" fillId="0" borderId="18" xfId="0" applyNumberFormat="1" applyFont="1" applyBorder="1"/>
    <xf numFmtId="14" fontId="2" fillId="0" borderId="46" xfId="0" applyNumberFormat="1" applyFont="1" applyFill="1" applyBorder="1"/>
    <xf numFmtId="0" fontId="2" fillId="0" borderId="15" xfId="0" applyFont="1" applyBorder="1" applyAlignment="1">
      <alignment horizontal="center"/>
    </xf>
    <xf numFmtId="0" fontId="2" fillId="0" borderId="15" xfId="0" applyNumberFormat="1" applyFont="1" applyBorder="1"/>
    <xf numFmtId="14" fontId="2" fillId="0" borderId="15" xfId="0" applyNumberFormat="1" applyFont="1" applyBorder="1"/>
    <xf numFmtId="14" fontId="2" fillId="0" borderId="14" xfId="0" applyNumberFormat="1" applyFont="1" applyBorder="1"/>
    <xf numFmtId="0" fontId="2" fillId="0" borderId="15" xfId="0" applyNumberFormat="1" applyFont="1" applyFill="1" applyBorder="1"/>
    <xf numFmtId="1" fontId="2" fillId="0" borderId="23" xfId="0" applyNumberFormat="1" applyFont="1" applyFill="1" applyBorder="1"/>
    <xf numFmtId="14" fontId="2" fillId="0" borderId="22" xfId="0" applyNumberFormat="1" applyFont="1" applyBorder="1"/>
    <xf numFmtId="0" fontId="2" fillId="0" borderId="11" xfId="0" applyNumberFormat="1" applyFont="1" applyBorder="1"/>
    <xf numFmtId="14" fontId="2" fillId="0" borderId="11" xfId="0" applyNumberFormat="1" applyFont="1" applyBorder="1"/>
    <xf numFmtId="14" fontId="2" fillId="0" borderId="10" xfId="0" applyNumberFormat="1" applyFont="1" applyBorder="1"/>
    <xf numFmtId="1" fontId="3" fillId="2" borderId="2" xfId="0" applyNumberFormat="1" applyFont="1" applyFill="1" applyBorder="1" applyAlignment="1">
      <alignment horizontal="center" vertical="center" textRotation="90"/>
    </xf>
    <xf numFmtId="0" fontId="3" fillId="2" borderId="48" xfId="0" applyFont="1" applyFill="1" applyBorder="1" applyAlignment="1">
      <alignment horizontal="center" vertical="center"/>
    </xf>
    <xf numFmtId="0" fontId="2" fillId="0" borderId="46" xfId="0" applyFont="1" applyBorder="1"/>
    <xf numFmtId="164" fontId="2" fillId="0" borderId="47" xfId="1" applyNumberFormat="1" applyFont="1" applyFill="1" applyBorder="1"/>
    <xf numFmtId="0" fontId="2" fillId="6" borderId="14" xfId="0" applyFont="1" applyFill="1" applyBorder="1"/>
    <xf numFmtId="0" fontId="2" fillId="6" borderId="15" xfId="0" applyFont="1" applyFill="1" applyBorder="1"/>
    <xf numFmtId="0" fontId="2" fillId="6" borderId="17" xfId="0" applyFont="1" applyFill="1" applyBorder="1"/>
    <xf numFmtId="0" fontId="3" fillId="2" borderId="11" xfId="0" applyFont="1" applyFill="1" applyBorder="1" applyAlignment="1">
      <alignment horizontal="center" vertical="center" textRotation="90"/>
    </xf>
    <xf numFmtId="0" fontId="3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" fontId="2" fillId="0" borderId="11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9" xfId="0" applyNumberFormat="1" applyFont="1" applyFill="1" applyBorder="1" applyAlignment="1">
      <alignment horizontal="center"/>
    </xf>
    <xf numFmtId="2" fontId="2" fillId="0" borderId="23" xfId="0" applyNumberFormat="1" applyFont="1" applyFill="1" applyBorder="1" applyAlignment="1">
      <alignment horizontal="center"/>
    </xf>
    <xf numFmtId="1" fontId="2" fillId="0" borderId="11" xfId="1" applyNumberFormat="1" applyFont="1" applyFill="1" applyBorder="1"/>
    <xf numFmtId="1" fontId="2" fillId="0" borderId="15" xfId="1" applyNumberFormat="1" applyFont="1" applyFill="1" applyBorder="1"/>
    <xf numFmtId="1" fontId="2" fillId="0" borderId="19" xfId="1" applyNumberFormat="1" applyFont="1" applyFill="1" applyBorder="1"/>
    <xf numFmtId="1" fontId="2" fillId="0" borderId="23" xfId="1" applyNumberFormat="1" applyFont="1" applyFill="1" applyBorder="1"/>
    <xf numFmtId="164" fontId="2" fillId="0" borderId="11" xfId="0" applyNumberFormat="1" applyFont="1" applyFill="1" applyBorder="1"/>
    <xf numFmtId="164" fontId="2" fillId="0" borderId="15" xfId="0" applyNumberFormat="1" applyFont="1" applyFill="1" applyBorder="1"/>
    <xf numFmtId="164" fontId="2" fillId="0" borderId="19" xfId="0" applyNumberFormat="1" applyFont="1" applyFill="1" applyBorder="1"/>
    <xf numFmtId="164" fontId="2" fillId="0" borderId="23" xfId="0" applyNumberFormat="1" applyFont="1" applyFill="1" applyBorder="1"/>
    <xf numFmtId="0" fontId="3" fillId="2" borderId="19" xfId="0" applyFont="1" applyFill="1" applyBorder="1" applyAlignment="1">
      <alignment horizontal="center" vertical="center"/>
    </xf>
    <xf numFmtId="0" fontId="2" fillId="0" borderId="13" xfId="0" applyNumberFormat="1" applyFont="1" applyBorder="1"/>
    <xf numFmtId="0" fontId="2" fillId="0" borderId="17" xfId="0" applyNumberFormat="1" applyFont="1" applyBorder="1"/>
    <xf numFmtId="0" fontId="2" fillId="0" borderId="21" xfId="0" applyNumberFormat="1" applyFont="1" applyBorder="1"/>
    <xf numFmtId="0" fontId="3" fillId="2" borderId="2" xfId="0" applyFont="1" applyFill="1" applyBorder="1" applyAlignment="1">
      <alignment horizontal="center" vertical="center"/>
    </xf>
    <xf numFmtId="2" fontId="2" fillId="0" borderId="47" xfId="0" applyNumberFormat="1" applyFont="1" applyFill="1" applyBorder="1" applyAlignment="1">
      <alignment horizontal="center"/>
    </xf>
    <xf numFmtId="1" fontId="2" fillId="0" borderId="47" xfId="1" applyNumberFormat="1" applyFont="1" applyFill="1" applyBorder="1"/>
    <xf numFmtId="164" fontId="2" fillId="0" borderId="47" xfId="0" applyNumberFormat="1" applyFont="1" applyFill="1" applyBorder="1"/>
    <xf numFmtId="0" fontId="2" fillId="0" borderId="15" xfId="0" quotePrefix="1" applyFont="1" applyFill="1" applyBorder="1"/>
    <xf numFmtId="9" fontId="7" fillId="0" borderId="43" xfId="1" applyNumberFormat="1" applyFont="1" applyBorder="1" applyAlignment="1">
      <alignment vertical="center"/>
    </xf>
    <xf numFmtId="9" fontId="7" fillId="0" borderId="44" xfId="1" applyNumberFormat="1" applyFont="1" applyBorder="1" applyAlignment="1">
      <alignment vertical="center"/>
    </xf>
    <xf numFmtId="0" fontId="2" fillId="5" borderId="14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90"/>
    </xf>
    <xf numFmtId="1" fontId="3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5" xfId="0" applyBorder="1"/>
    <xf numFmtId="0" fontId="0" fillId="0" borderId="19" xfId="0" applyBorder="1"/>
    <xf numFmtId="0" fontId="0" fillId="0" borderId="10" xfId="0" applyBorder="1"/>
    <xf numFmtId="0" fontId="0" fillId="0" borderId="14" xfId="0" applyBorder="1"/>
    <xf numFmtId="0" fontId="0" fillId="0" borderId="18" xfId="0" applyBorder="1"/>
    <xf numFmtId="0" fontId="2" fillId="0" borderId="11" xfId="0" applyNumberFormat="1" applyFont="1" applyFill="1" applyBorder="1" applyAlignment="1">
      <alignment horizontal="center"/>
    </xf>
    <xf numFmtId="0" fontId="2" fillId="0" borderId="15" xfId="0" applyNumberFormat="1" applyFont="1" applyFill="1" applyBorder="1" applyAlignment="1">
      <alignment horizontal="center"/>
    </xf>
    <xf numFmtId="0" fontId="2" fillId="0" borderId="19" xfId="0" applyNumberFormat="1" applyFont="1" applyFill="1" applyBorder="1" applyAlignment="1">
      <alignment horizontal="center"/>
    </xf>
    <xf numFmtId="0" fontId="0" fillId="5" borderId="15" xfId="0" applyFill="1" applyBorder="1"/>
    <xf numFmtId="14" fontId="2" fillId="0" borderId="46" xfId="0" applyNumberFormat="1" applyFont="1" applyBorder="1"/>
    <xf numFmtId="0" fontId="2" fillId="0" borderId="47" xfId="0" applyNumberFormat="1" applyFont="1" applyFill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2" fillId="0" borderId="23" xfId="0" applyNumberFormat="1" applyFont="1" applyFill="1" applyBorder="1" applyAlignment="1">
      <alignment horizontal="center"/>
    </xf>
    <xf numFmtId="0" fontId="0" fillId="0" borderId="22" xfId="0" applyBorder="1"/>
    <xf numFmtId="0" fontId="0" fillId="0" borderId="23" xfId="0" applyBorder="1"/>
    <xf numFmtId="165" fontId="2" fillId="0" borderId="0" xfId="0" applyNumberFormat="1" applyFont="1"/>
    <xf numFmtId="0" fontId="2" fillId="7" borderId="15" xfId="0" applyFont="1" applyFill="1" applyBorder="1"/>
    <xf numFmtId="0" fontId="2" fillId="7" borderId="47" xfId="0" applyFont="1" applyFill="1" applyBorder="1"/>
    <xf numFmtId="0" fontId="2" fillId="0" borderId="50" xfId="0" applyFont="1" applyBorder="1"/>
    <xf numFmtId="0" fontId="2" fillId="0" borderId="51" xfId="0" applyFont="1" applyBorder="1"/>
    <xf numFmtId="0" fontId="2" fillId="0" borderId="51" xfId="0" applyFont="1" applyFill="1" applyBorder="1"/>
    <xf numFmtId="14" fontId="2" fillId="0" borderId="51" xfId="0" applyNumberFormat="1" applyFont="1" applyBorder="1"/>
    <xf numFmtId="0" fontId="2" fillId="0" borderId="53" xfId="0" applyFont="1" applyBorder="1"/>
    <xf numFmtId="0" fontId="2" fillId="0" borderId="55" xfId="0" applyFont="1" applyFill="1" applyBorder="1"/>
    <xf numFmtId="14" fontId="2" fillId="0" borderId="55" xfId="0" applyNumberFormat="1" applyFont="1" applyBorder="1"/>
    <xf numFmtId="14" fontId="2" fillId="0" borderId="51" xfId="0" applyNumberFormat="1" applyFont="1" applyFill="1" applyBorder="1"/>
    <xf numFmtId="14" fontId="2" fillId="0" borderId="55" xfId="0" applyNumberFormat="1" applyFont="1" applyFill="1" applyBorder="1"/>
    <xf numFmtId="1" fontId="2" fillId="0" borderId="55" xfId="0" applyNumberFormat="1" applyFont="1" applyFill="1" applyBorder="1"/>
    <xf numFmtId="0" fontId="2" fillId="0" borderId="55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2" fillId="0" borderId="53" xfId="0" applyFont="1" applyFill="1" applyBorder="1"/>
    <xf numFmtId="0" fontId="2" fillId="0" borderId="56" xfId="0" applyFont="1" applyFill="1" applyBorder="1"/>
    <xf numFmtId="0" fontId="0" fillId="0" borderId="54" xfId="0" applyBorder="1"/>
    <xf numFmtId="0" fontId="0" fillId="0" borderId="55" xfId="0" applyBorder="1"/>
    <xf numFmtId="0" fontId="0" fillId="0" borderId="50" xfId="0" applyBorder="1"/>
    <xf numFmtId="0" fontId="0" fillId="0" borderId="51" xfId="0" applyBorder="1"/>
    <xf numFmtId="0" fontId="2" fillId="8" borderId="15" xfId="0" applyFont="1" applyFill="1" applyBorder="1" applyAlignment="1">
      <alignment horizontal="center"/>
    </xf>
    <xf numFmtId="0" fontId="2" fillId="0" borderId="19" xfId="0" applyNumberFormat="1" applyFont="1" applyFill="1" applyBorder="1"/>
    <xf numFmtId="0" fontId="2" fillId="0" borderId="11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90"/>
    </xf>
    <xf numFmtId="0" fontId="3" fillId="2" borderId="47" xfId="0" applyFont="1" applyFill="1" applyBorder="1" applyAlignment="1">
      <alignment horizontal="center" vertical="center"/>
    </xf>
    <xf numFmtId="14" fontId="2" fillId="0" borderId="50" xfId="0" applyNumberFormat="1" applyFont="1" applyFill="1" applyBorder="1"/>
    <xf numFmtId="1" fontId="2" fillId="0" borderId="51" xfId="0" applyNumberFormat="1" applyFont="1" applyFill="1" applyBorder="1"/>
    <xf numFmtId="2" fontId="2" fillId="0" borderId="51" xfId="0" applyNumberFormat="1" applyFont="1" applyFill="1" applyBorder="1" applyAlignment="1">
      <alignment horizontal="center"/>
    </xf>
    <xf numFmtId="1" fontId="2" fillId="0" borderId="51" xfId="1" applyNumberFormat="1" applyFont="1" applyFill="1" applyBorder="1"/>
    <xf numFmtId="164" fontId="2" fillId="0" borderId="51" xfId="0" applyNumberFormat="1" applyFont="1" applyFill="1" applyBorder="1"/>
    <xf numFmtId="0" fontId="2" fillId="0" borderId="61" xfId="0" applyFont="1" applyFill="1" applyBorder="1"/>
    <xf numFmtId="0" fontId="2" fillId="0" borderId="50" xfId="0" applyFont="1" applyFill="1" applyBorder="1"/>
    <xf numFmtId="14" fontId="2" fillId="0" borderId="54" xfId="0" applyNumberFormat="1" applyFont="1" applyFill="1" applyBorder="1"/>
    <xf numFmtId="2" fontId="2" fillId="0" borderId="55" xfId="0" applyNumberFormat="1" applyFont="1" applyFill="1" applyBorder="1" applyAlignment="1">
      <alignment horizontal="center"/>
    </xf>
    <xf numFmtId="1" fontId="2" fillId="0" borderId="55" xfId="1" applyNumberFormat="1" applyFont="1" applyFill="1" applyBorder="1"/>
    <xf numFmtId="164" fontId="2" fillId="0" borderId="55" xfId="0" applyNumberFormat="1" applyFont="1" applyFill="1" applyBorder="1"/>
    <xf numFmtId="0" fontId="2" fillId="0" borderId="62" xfId="0" applyFont="1" applyFill="1" applyBorder="1"/>
    <xf numFmtId="0" fontId="2" fillId="0" borderId="54" xfId="0" applyFont="1" applyFill="1" applyBorder="1"/>
    <xf numFmtId="0" fontId="2" fillId="0" borderId="16" xfId="0" applyFont="1" applyBorder="1"/>
    <xf numFmtId="0" fontId="2" fillId="0" borderId="61" xfId="0" applyFont="1" applyBorder="1"/>
    <xf numFmtId="0" fontId="2" fillId="9" borderId="15" xfId="0" applyFont="1" applyFill="1" applyBorder="1" applyAlignment="1">
      <alignment horizontal="center"/>
    </xf>
    <xf numFmtId="0" fontId="2" fillId="9" borderId="55" xfId="0" applyFont="1" applyFill="1" applyBorder="1" applyAlignment="1">
      <alignment horizontal="center"/>
    </xf>
    <xf numFmtId="14" fontId="2" fillId="8" borderId="15" xfId="0" applyNumberFormat="1" applyFont="1" applyFill="1" applyBorder="1"/>
    <xf numFmtId="14" fontId="2" fillId="8" borderId="51" xfId="0" applyNumberFormat="1" applyFont="1" applyFill="1" applyBorder="1"/>
    <xf numFmtId="14" fontId="2" fillId="8" borderId="55" xfId="0" applyNumberFormat="1" applyFont="1" applyFill="1" applyBorder="1"/>
    <xf numFmtId="0" fontId="9" fillId="0" borderId="0" xfId="0" applyFont="1"/>
    <xf numFmtId="1" fontId="8" fillId="2" borderId="2" xfId="0" applyNumberFormat="1" applyFont="1" applyFill="1" applyBorder="1" applyAlignment="1">
      <alignment horizontal="center" vertical="center" textRotation="90"/>
    </xf>
    <xf numFmtId="0" fontId="8" fillId="2" borderId="0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" fontId="8" fillId="2" borderId="0" xfId="0" applyNumberFormat="1" applyFont="1" applyFill="1" applyBorder="1" applyAlignment="1">
      <alignment horizontal="center" vertical="center" textRotation="90"/>
    </xf>
    <xf numFmtId="1" fontId="9" fillId="0" borderId="0" xfId="0" applyNumberFormat="1" applyFont="1"/>
    <xf numFmtId="0" fontId="9" fillId="0" borderId="0" xfId="0" applyFont="1" applyAlignment="1">
      <alignment horizontal="center"/>
    </xf>
    <xf numFmtId="0" fontId="10" fillId="0" borderId="64" xfId="0" applyFont="1" applyBorder="1" applyAlignment="1">
      <alignment vertical="center"/>
    </xf>
    <xf numFmtId="0" fontId="11" fillId="10" borderId="67" xfId="0" applyFont="1" applyFill="1" applyBorder="1" applyAlignment="1" applyProtection="1">
      <alignment vertical="center"/>
    </xf>
    <xf numFmtId="0" fontId="10" fillId="0" borderId="67" xfId="0" applyFont="1" applyBorder="1" applyAlignment="1">
      <alignment vertical="center"/>
    </xf>
    <xf numFmtId="0" fontId="11" fillId="10" borderId="70" xfId="0" applyFont="1" applyFill="1" applyBorder="1" applyAlignment="1" applyProtection="1">
      <alignment vertical="center"/>
    </xf>
    <xf numFmtId="0" fontId="10" fillId="0" borderId="70" xfId="0" applyFont="1" applyBorder="1" applyAlignment="1">
      <alignment vertical="center"/>
    </xf>
    <xf numFmtId="0" fontId="9" fillId="0" borderId="63" xfId="0" applyFont="1" applyBorder="1" applyAlignment="1">
      <alignment vertical="center"/>
    </xf>
    <xf numFmtId="0" fontId="10" fillId="0" borderId="64" xfId="0" applyFont="1" applyFill="1" applyBorder="1" applyAlignment="1">
      <alignment horizontal="center" vertical="center"/>
    </xf>
    <xf numFmtId="0" fontId="9" fillId="0" borderId="64" xfId="0" applyFont="1" applyBorder="1" applyAlignment="1">
      <alignment vertical="center"/>
    </xf>
    <xf numFmtId="14" fontId="9" fillId="0" borderId="64" xfId="0" applyNumberFormat="1" applyFont="1" applyBorder="1" applyAlignment="1">
      <alignment vertical="center"/>
    </xf>
    <xf numFmtId="1" fontId="9" fillId="0" borderId="64" xfId="0" applyNumberFormat="1" applyFont="1" applyBorder="1" applyAlignment="1">
      <alignment vertical="center"/>
    </xf>
    <xf numFmtId="0" fontId="9" fillId="0" borderId="64" xfId="0" applyNumberFormat="1" applyFont="1" applyBorder="1" applyAlignment="1">
      <alignment vertical="center"/>
    </xf>
    <xf numFmtId="9" fontId="9" fillId="0" borderId="64" xfId="1" applyFont="1" applyBorder="1" applyAlignment="1">
      <alignment vertical="center"/>
    </xf>
    <xf numFmtId="0" fontId="9" fillId="0" borderId="64" xfId="0" applyFont="1" applyFill="1" applyBorder="1" applyAlignment="1">
      <alignment horizontal="center" vertical="center"/>
    </xf>
    <xf numFmtId="0" fontId="9" fillId="0" borderId="6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66" xfId="0" applyFont="1" applyBorder="1" applyAlignment="1">
      <alignment vertical="center"/>
    </xf>
    <xf numFmtId="0" fontId="11" fillId="0" borderId="67" xfId="0" applyFont="1" applyFill="1" applyBorder="1" applyAlignment="1" applyProtection="1">
      <alignment horizontal="center" vertical="center"/>
    </xf>
    <xf numFmtId="0" fontId="9" fillId="0" borderId="67" xfId="0" applyFont="1" applyBorder="1" applyAlignment="1">
      <alignment vertical="center"/>
    </xf>
    <xf numFmtId="14" fontId="9" fillId="0" borderId="67" xfId="0" applyNumberFormat="1" applyFont="1" applyBorder="1" applyAlignment="1">
      <alignment vertical="center"/>
    </xf>
    <xf numFmtId="1" fontId="9" fillId="0" borderId="67" xfId="0" applyNumberFormat="1" applyFont="1" applyBorder="1" applyAlignment="1">
      <alignment vertical="center"/>
    </xf>
    <xf numFmtId="0" fontId="9" fillId="0" borderId="67" xfId="0" applyNumberFormat="1" applyFont="1" applyBorder="1" applyAlignment="1">
      <alignment vertical="center"/>
    </xf>
    <xf numFmtId="9" fontId="9" fillId="0" borderId="67" xfId="1" applyFont="1" applyBorder="1" applyAlignment="1">
      <alignment vertical="center"/>
    </xf>
    <xf numFmtId="0" fontId="9" fillId="0" borderId="67" xfId="0" applyFont="1" applyFill="1" applyBorder="1" applyAlignment="1">
      <alignment horizontal="center" vertical="center"/>
    </xf>
    <xf numFmtId="0" fontId="9" fillId="0" borderId="68" xfId="0" applyFont="1" applyBorder="1" applyAlignment="1">
      <alignment vertical="center"/>
    </xf>
    <xf numFmtId="0" fontId="10" fillId="0" borderId="67" xfId="0" applyFont="1" applyFill="1" applyBorder="1" applyAlignment="1">
      <alignment horizontal="center" vertical="center"/>
    </xf>
    <xf numFmtId="14" fontId="9" fillId="0" borderId="67" xfId="0" applyNumberFormat="1" applyFont="1" applyFill="1" applyBorder="1" applyAlignment="1">
      <alignment vertical="center"/>
    </xf>
    <xf numFmtId="1" fontId="9" fillId="0" borderId="67" xfId="0" applyNumberFormat="1" applyFont="1" applyFill="1" applyBorder="1" applyAlignment="1">
      <alignment vertical="center"/>
    </xf>
    <xf numFmtId="9" fontId="9" fillId="0" borderId="67" xfId="1" applyFont="1" applyFill="1" applyBorder="1" applyAlignment="1">
      <alignment vertical="center"/>
    </xf>
    <xf numFmtId="0" fontId="10" fillId="0" borderId="67" xfId="0" applyFont="1" applyFill="1" applyBorder="1" applyAlignment="1">
      <alignment vertical="center"/>
    </xf>
    <xf numFmtId="0" fontId="9" fillId="0" borderId="69" xfId="0" applyFont="1" applyBorder="1" applyAlignment="1">
      <alignment vertical="center"/>
    </xf>
    <xf numFmtId="0" fontId="11" fillId="0" borderId="70" xfId="0" applyFont="1" applyFill="1" applyBorder="1" applyAlignment="1" applyProtection="1">
      <alignment horizontal="center" vertical="center"/>
    </xf>
    <xf numFmtId="0" fontId="9" fillId="0" borderId="70" xfId="0" applyFont="1" applyBorder="1" applyAlignment="1">
      <alignment vertical="center"/>
    </xf>
    <xf numFmtId="14" fontId="9" fillId="0" borderId="70" xfId="0" applyNumberFormat="1" applyFont="1" applyBorder="1" applyAlignment="1">
      <alignment vertical="center"/>
    </xf>
    <xf numFmtId="1" fontId="9" fillId="0" borderId="70" xfId="0" applyNumberFormat="1" applyFont="1" applyBorder="1" applyAlignment="1">
      <alignment vertical="center"/>
    </xf>
    <xf numFmtId="0" fontId="9" fillId="0" borderId="70" xfId="0" applyNumberFormat="1" applyFont="1" applyBorder="1" applyAlignment="1">
      <alignment vertical="center"/>
    </xf>
    <xf numFmtId="9" fontId="9" fillId="0" borderId="70" xfId="1" applyFont="1" applyBorder="1" applyAlignment="1">
      <alignment vertical="center"/>
    </xf>
    <xf numFmtId="0" fontId="9" fillId="0" borderId="70" xfId="0" applyFont="1" applyFill="1" applyBorder="1" applyAlignment="1">
      <alignment horizontal="center" vertical="center"/>
    </xf>
    <xf numFmtId="0" fontId="9" fillId="0" borderId="71" xfId="0" applyFont="1" applyBorder="1" applyAlignment="1">
      <alignment vertical="center"/>
    </xf>
    <xf numFmtId="0" fontId="10" fillId="0" borderId="70" xfId="0" applyFont="1" applyFill="1" applyBorder="1" applyAlignment="1">
      <alignment horizontal="center" vertical="center"/>
    </xf>
    <xf numFmtId="14" fontId="9" fillId="0" borderId="70" xfId="0" applyNumberFormat="1" applyFont="1" applyFill="1" applyBorder="1" applyAlignment="1">
      <alignment vertical="center"/>
    </xf>
    <xf numFmtId="1" fontId="9" fillId="0" borderId="70" xfId="0" applyNumberFormat="1" applyFont="1" applyFill="1" applyBorder="1" applyAlignment="1">
      <alignment vertical="center"/>
    </xf>
    <xf numFmtId="9" fontId="9" fillId="0" borderId="70" xfId="1" applyFont="1" applyFill="1" applyBorder="1" applyAlignment="1">
      <alignment vertical="center"/>
    </xf>
    <xf numFmtId="14" fontId="9" fillId="0" borderId="64" xfId="0" applyNumberFormat="1" applyFont="1" applyFill="1" applyBorder="1" applyAlignment="1">
      <alignment vertical="center"/>
    </xf>
    <xf numFmtId="1" fontId="9" fillId="0" borderId="64" xfId="0" applyNumberFormat="1" applyFont="1" applyFill="1" applyBorder="1" applyAlignment="1">
      <alignment vertical="center"/>
    </xf>
    <xf numFmtId="9" fontId="9" fillId="0" borderId="64" xfId="1" applyFont="1" applyFill="1" applyBorder="1" applyAlignment="1">
      <alignment vertical="center"/>
    </xf>
    <xf numFmtId="2" fontId="9" fillId="0" borderId="67" xfId="0" applyNumberFormat="1" applyFont="1" applyFill="1" applyBorder="1" applyAlignment="1">
      <alignment vertical="center"/>
    </xf>
    <xf numFmtId="9" fontId="9" fillId="0" borderId="67" xfId="0" applyNumberFormat="1" applyFont="1" applyBorder="1" applyAlignment="1">
      <alignment vertical="center"/>
    </xf>
    <xf numFmtId="0" fontId="9" fillId="0" borderId="67" xfId="0" applyFont="1" applyBorder="1" applyAlignment="1">
      <alignment horizontal="center" vertical="center"/>
    </xf>
    <xf numFmtId="0" fontId="10" fillId="0" borderId="72" xfId="0" applyFont="1" applyBorder="1" applyAlignment="1">
      <alignment vertical="center"/>
    </xf>
    <xf numFmtId="0" fontId="11" fillId="10" borderId="73" xfId="0" applyFont="1" applyFill="1" applyBorder="1" applyAlignment="1" applyProtection="1">
      <alignment vertical="center"/>
    </xf>
    <xf numFmtId="0" fontId="10" fillId="0" borderId="73" xfId="0" applyFont="1" applyBorder="1" applyAlignment="1">
      <alignment vertical="center"/>
    </xf>
    <xf numFmtId="0" fontId="10" fillId="0" borderId="73" xfId="0" applyFont="1" applyFill="1" applyBorder="1" applyAlignment="1">
      <alignment vertical="center"/>
    </xf>
    <xf numFmtId="0" fontId="11" fillId="10" borderId="74" xfId="0" applyFont="1" applyFill="1" applyBorder="1" applyAlignment="1" applyProtection="1">
      <alignment vertical="center"/>
    </xf>
    <xf numFmtId="0" fontId="10" fillId="0" borderId="74" xfId="0" applyFont="1" applyBorder="1" applyAlignment="1">
      <alignment vertical="center"/>
    </xf>
    <xf numFmtId="0" fontId="9" fillId="0" borderId="75" xfId="0" applyFont="1" applyBorder="1" applyAlignment="1">
      <alignment vertical="center"/>
    </xf>
    <xf numFmtId="0" fontId="9" fillId="0" borderId="76" xfId="0" applyFont="1" applyBorder="1" applyAlignment="1">
      <alignment vertical="center"/>
    </xf>
    <xf numFmtId="0" fontId="9" fillId="0" borderId="77" xfId="0" applyFont="1" applyBorder="1" applyAlignment="1">
      <alignment vertical="center"/>
    </xf>
    <xf numFmtId="0" fontId="9" fillId="0" borderId="76" xfId="0" applyFont="1" applyFill="1" applyBorder="1" applyAlignment="1">
      <alignment vertical="center"/>
    </xf>
    <xf numFmtId="14" fontId="9" fillId="0" borderId="78" xfId="0" applyNumberFormat="1" applyFont="1" applyBorder="1" applyAlignment="1">
      <alignment vertical="center"/>
    </xf>
    <xf numFmtId="14" fontId="9" fillId="0" borderId="79" xfId="0" applyNumberFormat="1" applyFont="1" applyFill="1" applyBorder="1" applyAlignment="1">
      <alignment horizontal="center" vertical="center"/>
    </xf>
    <xf numFmtId="14" fontId="9" fillId="0" borderId="80" xfId="0" applyNumberFormat="1" applyFont="1" applyBorder="1" applyAlignment="1">
      <alignment vertical="center"/>
    </xf>
    <xf numFmtId="14" fontId="9" fillId="0" borderId="81" xfId="0" applyNumberFormat="1" applyFont="1" applyFill="1" applyBorder="1" applyAlignment="1">
      <alignment horizontal="center" vertical="center"/>
    </xf>
    <xf numFmtId="14" fontId="9" fillId="0" borderId="82" xfId="0" applyNumberFormat="1" applyFont="1" applyBorder="1" applyAlignment="1">
      <alignment vertical="center"/>
    </xf>
    <xf numFmtId="14" fontId="9" fillId="0" borderId="83" xfId="0" applyNumberFormat="1" applyFont="1" applyFill="1" applyBorder="1" applyAlignment="1">
      <alignment horizontal="center" vertical="center"/>
    </xf>
    <xf numFmtId="14" fontId="9" fillId="0" borderId="81" xfId="0" applyNumberFormat="1" applyFont="1" applyBorder="1" applyAlignment="1">
      <alignment horizontal="center" vertical="center"/>
    </xf>
    <xf numFmtId="0" fontId="10" fillId="0" borderId="70" xfId="0" applyFont="1" applyFill="1" applyBorder="1" applyAlignment="1">
      <alignment vertical="center"/>
    </xf>
    <xf numFmtId="0" fontId="10" fillId="0" borderId="74" xfId="0" applyFont="1" applyFill="1" applyBorder="1" applyAlignment="1">
      <alignment vertical="center"/>
    </xf>
    <xf numFmtId="9" fontId="9" fillId="0" borderId="70" xfId="0" applyNumberFormat="1" applyFont="1" applyBorder="1" applyAlignment="1">
      <alignment vertical="center"/>
    </xf>
    <xf numFmtId="14" fontId="9" fillId="0" borderId="83" xfId="0" applyNumberFormat="1" applyFont="1" applyBorder="1" applyAlignment="1">
      <alignment horizontal="center" vertical="center"/>
    </xf>
    <xf numFmtId="0" fontId="9" fillId="0" borderId="67" xfId="0" applyFont="1" applyFill="1" applyBorder="1" applyAlignment="1">
      <alignment vertical="center"/>
    </xf>
    <xf numFmtId="0" fontId="9" fillId="0" borderId="70" xfId="0" applyFont="1" applyFill="1" applyBorder="1" applyAlignment="1">
      <alignment vertical="center"/>
    </xf>
    <xf numFmtId="0" fontId="9" fillId="0" borderId="64" xfId="0" applyFont="1" applyFill="1" applyBorder="1" applyAlignment="1">
      <alignment vertical="center"/>
    </xf>
    <xf numFmtId="0" fontId="9" fillId="6" borderId="66" xfId="0" applyFont="1" applyFill="1" applyBorder="1" applyAlignment="1">
      <alignment vertical="center"/>
    </xf>
    <xf numFmtId="0" fontId="10" fillId="6" borderId="67" xfId="0" applyFont="1" applyFill="1" applyBorder="1" applyAlignment="1">
      <alignment horizontal="center" vertical="center"/>
    </xf>
    <xf numFmtId="0" fontId="9" fillId="6" borderId="67" xfId="0" applyFont="1" applyFill="1" applyBorder="1" applyAlignment="1">
      <alignment vertical="center"/>
    </xf>
    <xf numFmtId="0" fontId="10" fillId="6" borderId="67" xfId="0" applyFont="1" applyFill="1" applyBorder="1" applyAlignment="1">
      <alignment vertical="center"/>
    </xf>
    <xf numFmtId="0" fontId="10" fillId="6" borderId="73" xfId="0" applyFont="1" applyFill="1" applyBorder="1" applyAlignment="1">
      <alignment vertical="center"/>
    </xf>
    <xf numFmtId="14" fontId="9" fillId="6" borderId="80" xfId="0" applyNumberFormat="1" applyFont="1" applyFill="1" applyBorder="1" applyAlignment="1">
      <alignment vertical="center"/>
    </xf>
    <xf numFmtId="14" fontId="9" fillId="6" borderId="67" xfId="0" applyNumberFormat="1" applyFont="1" applyFill="1" applyBorder="1" applyAlignment="1">
      <alignment vertical="center"/>
    </xf>
    <xf numFmtId="1" fontId="9" fillId="6" borderId="67" xfId="0" applyNumberFormat="1" applyFont="1" applyFill="1" applyBorder="1" applyAlignment="1">
      <alignment vertical="center"/>
    </xf>
    <xf numFmtId="0" fontId="9" fillId="6" borderId="67" xfId="0" applyNumberFormat="1" applyFont="1" applyFill="1" applyBorder="1" applyAlignment="1">
      <alignment vertical="center"/>
    </xf>
    <xf numFmtId="9" fontId="9" fillId="6" borderId="67" xfId="1" applyFont="1" applyFill="1" applyBorder="1" applyAlignment="1">
      <alignment vertical="center"/>
    </xf>
    <xf numFmtId="0" fontId="9" fillId="6" borderId="67" xfId="0" applyFont="1" applyFill="1" applyBorder="1" applyAlignment="1">
      <alignment horizontal="center" vertical="center"/>
    </xf>
    <xf numFmtId="14" fontId="9" fillId="6" borderId="81" xfId="0" applyNumberFormat="1" applyFont="1" applyFill="1" applyBorder="1" applyAlignment="1">
      <alignment horizontal="center" vertical="center"/>
    </xf>
    <xf numFmtId="0" fontId="9" fillId="6" borderId="76" xfId="0" applyFont="1" applyFill="1" applyBorder="1" applyAlignment="1">
      <alignment vertical="center"/>
    </xf>
    <xf numFmtId="0" fontId="9" fillId="6" borderId="68" xfId="0" applyFont="1" applyFill="1" applyBorder="1" applyAlignment="1">
      <alignment vertical="center"/>
    </xf>
    <xf numFmtId="9" fontId="9" fillId="6" borderId="67" xfId="0" applyNumberFormat="1" applyFont="1" applyFill="1" applyBorder="1" applyAlignment="1">
      <alignment vertical="center"/>
    </xf>
    <xf numFmtId="164" fontId="0" fillId="0" borderId="0" xfId="1" applyNumberFormat="1" applyFont="1"/>
    <xf numFmtId="0" fontId="9" fillId="11" borderId="66" xfId="0" applyFont="1" applyFill="1" applyBorder="1" applyAlignment="1">
      <alignment vertical="center"/>
    </xf>
    <xf numFmtId="0" fontId="10" fillId="11" borderId="67" xfId="0" applyFont="1" applyFill="1" applyBorder="1" applyAlignment="1">
      <alignment horizontal="center" vertical="center"/>
    </xf>
    <xf numFmtId="0" fontId="9" fillId="11" borderId="67" xfId="0" applyFont="1" applyFill="1" applyBorder="1" applyAlignment="1">
      <alignment vertical="center"/>
    </xf>
    <xf numFmtId="0" fontId="10" fillId="11" borderId="67" xfId="0" applyFont="1" applyFill="1" applyBorder="1" applyAlignment="1">
      <alignment vertical="center"/>
    </xf>
    <xf numFmtId="0" fontId="10" fillId="11" borderId="73" xfId="0" applyFont="1" applyFill="1" applyBorder="1" applyAlignment="1">
      <alignment vertical="center"/>
    </xf>
    <xf numFmtId="14" fontId="9" fillId="11" borderId="80" xfId="0" applyNumberFormat="1" applyFont="1" applyFill="1" applyBorder="1" applyAlignment="1">
      <alignment vertical="center"/>
    </xf>
    <xf numFmtId="14" fontId="9" fillId="11" borderId="67" xfId="0" applyNumberFormat="1" applyFont="1" applyFill="1" applyBorder="1" applyAlignment="1">
      <alignment vertical="center"/>
    </xf>
    <xf numFmtId="1" fontId="9" fillId="11" borderId="67" xfId="0" applyNumberFormat="1" applyFont="1" applyFill="1" applyBorder="1" applyAlignment="1">
      <alignment vertical="center"/>
    </xf>
    <xf numFmtId="0" fontId="9" fillId="11" borderId="67" xfId="0" applyNumberFormat="1" applyFont="1" applyFill="1" applyBorder="1" applyAlignment="1">
      <alignment vertical="center"/>
    </xf>
    <xf numFmtId="9" fontId="9" fillId="11" borderId="67" xfId="1" applyFont="1" applyFill="1" applyBorder="1" applyAlignment="1">
      <alignment vertical="center"/>
    </xf>
    <xf numFmtId="0" fontId="9" fillId="11" borderId="67" xfId="0" applyFont="1" applyFill="1" applyBorder="1" applyAlignment="1">
      <alignment horizontal="center" vertical="center"/>
    </xf>
    <xf numFmtId="14" fontId="9" fillId="11" borderId="81" xfId="0" applyNumberFormat="1" applyFont="1" applyFill="1" applyBorder="1" applyAlignment="1">
      <alignment horizontal="center" vertical="center"/>
    </xf>
    <xf numFmtId="0" fontId="9" fillId="11" borderId="76" xfId="0" applyFont="1" applyFill="1" applyBorder="1" applyAlignment="1">
      <alignment vertical="center"/>
    </xf>
    <xf numFmtId="0" fontId="9" fillId="11" borderId="68" xfId="0" applyFont="1" applyFill="1" applyBorder="1" applyAlignment="1">
      <alignment vertical="center"/>
    </xf>
    <xf numFmtId="0" fontId="11" fillId="6" borderId="67" xfId="0" applyFont="1" applyFill="1" applyBorder="1" applyAlignment="1" applyProtection="1">
      <alignment horizontal="center" vertical="center"/>
    </xf>
    <xf numFmtId="0" fontId="11" fillId="12" borderId="67" xfId="0" applyFont="1" applyFill="1" applyBorder="1" applyAlignment="1" applyProtection="1">
      <alignment vertical="center"/>
    </xf>
    <xf numFmtId="0" fontId="11" fillId="12" borderId="73" xfId="0" applyFont="1" applyFill="1" applyBorder="1" applyAlignment="1" applyProtection="1">
      <alignment vertical="center"/>
    </xf>
    <xf numFmtId="0" fontId="12" fillId="2" borderId="11" xfId="0" applyFont="1" applyFill="1" applyBorder="1" applyAlignment="1">
      <alignment horizontal="center" vertical="center" textRotation="90"/>
    </xf>
    <xf numFmtId="0" fontId="12" fillId="2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 textRotation="90"/>
    </xf>
    <xf numFmtId="0" fontId="13" fillId="0" borderId="0" xfId="0" applyFont="1"/>
    <xf numFmtId="0" fontId="12" fillId="2" borderId="47" xfId="0" applyFont="1" applyFill="1" applyBorder="1" applyAlignment="1">
      <alignment horizontal="center" vertical="center"/>
    </xf>
    <xf numFmtId="0" fontId="12" fillId="2" borderId="48" xfId="0" applyFont="1" applyFill="1" applyBorder="1" applyAlignment="1">
      <alignment horizontal="center" vertical="center"/>
    </xf>
    <xf numFmtId="14" fontId="13" fillId="0" borderId="55" xfId="0" applyNumberFormat="1" applyFont="1" applyFill="1" applyBorder="1"/>
    <xf numFmtId="0" fontId="13" fillId="0" borderId="55" xfId="0" applyFont="1" applyFill="1" applyBorder="1" applyAlignment="1">
      <alignment horizontal="center"/>
    </xf>
    <xf numFmtId="164" fontId="13" fillId="0" borderId="55" xfId="1" applyNumberFormat="1" applyFont="1" applyFill="1" applyBorder="1"/>
    <xf numFmtId="0" fontId="13" fillId="0" borderId="55" xfId="0" applyFont="1" applyFill="1" applyBorder="1"/>
    <xf numFmtId="0" fontId="13" fillId="0" borderId="59" xfId="0" applyFont="1" applyFill="1" applyBorder="1"/>
    <xf numFmtId="0" fontId="13" fillId="0" borderId="60" xfId="0" applyFont="1" applyFill="1" applyBorder="1"/>
    <xf numFmtId="0" fontId="13" fillId="0" borderId="56" xfId="0" applyFont="1" applyFill="1" applyBorder="1"/>
    <xf numFmtId="14" fontId="13" fillId="0" borderId="15" xfId="0" applyNumberFormat="1" applyFont="1" applyFill="1" applyBorder="1"/>
    <xf numFmtId="0" fontId="13" fillId="0" borderId="15" xfId="0" applyFont="1" applyFill="1" applyBorder="1" applyAlignment="1">
      <alignment horizontal="center"/>
    </xf>
    <xf numFmtId="0" fontId="13" fillId="0" borderId="15" xfId="0" applyFont="1" applyFill="1" applyBorder="1"/>
    <xf numFmtId="0" fontId="13" fillId="0" borderId="57" xfId="0" applyFont="1" applyFill="1" applyBorder="1"/>
    <xf numFmtId="0" fontId="13" fillId="0" borderId="49" xfId="0" applyFont="1" applyFill="1" applyBorder="1"/>
    <xf numFmtId="0" fontId="13" fillId="0" borderId="17" xfId="0" applyFont="1" applyFill="1" applyBorder="1"/>
    <xf numFmtId="14" fontId="13" fillId="0" borderId="15" xfId="0" applyNumberFormat="1" applyFont="1" applyBorder="1"/>
    <xf numFmtId="0" fontId="13" fillId="0" borderId="51" xfId="0" applyFont="1" applyFill="1" applyBorder="1"/>
    <xf numFmtId="0" fontId="13" fillId="0" borderId="58" xfId="0" applyFont="1" applyFill="1" applyBorder="1"/>
    <xf numFmtId="0" fontId="13" fillId="0" borderId="52" xfId="0" applyFont="1" applyFill="1" applyBorder="1"/>
    <xf numFmtId="0" fontId="13" fillId="0" borderId="53" xfId="0" applyFont="1" applyFill="1" applyBorder="1"/>
    <xf numFmtId="14" fontId="13" fillId="0" borderId="51" xfId="0" applyNumberFormat="1" applyFont="1" applyFill="1" applyBorder="1"/>
    <xf numFmtId="14" fontId="13" fillId="0" borderId="51" xfId="0" applyNumberFormat="1" applyFont="1" applyBorder="1"/>
    <xf numFmtId="0" fontId="13" fillId="0" borderId="51" xfId="0" applyFont="1" applyFill="1" applyBorder="1" applyAlignment="1">
      <alignment horizontal="center"/>
    </xf>
    <xf numFmtId="14" fontId="13" fillId="0" borderId="55" xfId="0" applyNumberFormat="1" applyFont="1" applyBorder="1"/>
    <xf numFmtId="0" fontId="13" fillId="0" borderId="57" xfId="0" applyFont="1" applyBorder="1"/>
    <xf numFmtId="0" fontId="13" fillId="0" borderId="15" xfId="0" applyFont="1" applyBorder="1"/>
    <xf numFmtId="0" fontId="13" fillId="0" borderId="58" xfId="0" applyFont="1" applyBorder="1"/>
    <xf numFmtId="0" fontId="13" fillId="0" borderId="51" xfId="0" applyFont="1" applyBorder="1"/>
    <xf numFmtId="0" fontId="13" fillId="0" borderId="49" xfId="0" applyFont="1" applyBorder="1"/>
    <xf numFmtId="0" fontId="13" fillId="0" borderId="17" xfId="0" applyFont="1" applyBorder="1"/>
    <xf numFmtId="0" fontId="13" fillId="0" borderId="84" xfId="0" applyFont="1" applyBorder="1" applyAlignment="1">
      <alignment vertical="center"/>
    </xf>
    <xf numFmtId="0" fontId="10" fillId="0" borderId="85" xfId="0" applyFont="1" applyFill="1" applyBorder="1" applyAlignment="1">
      <alignment horizontal="center" vertical="center"/>
    </xf>
    <xf numFmtId="0" fontId="13" fillId="0" borderId="85" xfId="0" applyFont="1" applyBorder="1" applyAlignment="1">
      <alignment vertical="center"/>
    </xf>
    <xf numFmtId="0" fontId="10" fillId="0" borderId="85" xfId="0" applyFont="1" applyBorder="1" applyAlignment="1">
      <alignment vertical="center"/>
    </xf>
    <xf numFmtId="0" fontId="10" fillId="0" borderId="86" xfId="0" applyFont="1" applyBorder="1" applyAlignment="1">
      <alignment vertical="center"/>
    </xf>
    <xf numFmtId="0" fontId="13" fillId="0" borderId="87" xfId="0" applyFont="1" applyBorder="1" applyAlignment="1">
      <alignment vertical="center"/>
    </xf>
    <xf numFmtId="0" fontId="11" fillId="0" borderId="88" xfId="0" applyFont="1" applyFill="1" applyBorder="1" applyAlignment="1" applyProtection="1">
      <alignment horizontal="center" vertical="center"/>
    </xf>
    <xf numFmtId="0" fontId="13" fillId="0" borderId="88" xfId="0" applyFont="1" applyBorder="1" applyAlignment="1">
      <alignment vertical="center"/>
    </xf>
    <xf numFmtId="0" fontId="11" fillId="10" borderId="88" xfId="0" applyFont="1" applyFill="1" applyBorder="1" applyAlignment="1" applyProtection="1">
      <alignment vertical="center"/>
    </xf>
    <xf numFmtId="0" fontId="11" fillId="10" borderId="89" xfId="0" applyFont="1" applyFill="1" applyBorder="1" applyAlignment="1" applyProtection="1">
      <alignment vertical="center"/>
    </xf>
    <xf numFmtId="164" fontId="13" fillId="0" borderId="15" xfId="1" applyNumberFormat="1" applyFont="1" applyFill="1" applyBorder="1"/>
    <xf numFmtId="0" fontId="10" fillId="0" borderId="88" xfId="0" applyFont="1" applyFill="1" applyBorder="1" applyAlignment="1">
      <alignment horizontal="center" vertical="center"/>
    </xf>
    <xf numFmtId="0" fontId="10" fillId="0" borderId="88" xfId="0" applyFont="1" applyBorder="1" applyAlignment="1">
      <alignment vertical="center"/>
    </xf>
    <xf numFmtId="0" fontId="10" fillId="0" borderId="89" xfId="0" applyFont="1" applyBorder="1" applyAlignment="1">
      <alignment vertical="center"/>
    </xf>
    <xf numFmtId="0" fontId="10" fillId="0" borderId="88" xfId="0" applyFont="1" applyFill="1" applyBorder="1" applyAlignment="1">
      <alignment vertical="center"/>
    </xf>
    <xf numFmtId="0" fontId="10" fillId="0" borderId="89" xfId="0" applyFont="1" applyFill="1" applyBorder="1" applyAlignment="1">
      <alignment vertical="center"/>
    </xf>
    <xf numFmtId="0" fontId="13" fillId="0" borderId="90" xfId="0" applyFont="1" applyBorder="1" applyAlignment="1">
      <alignment vertical="center"/>
    </xf>
    <xf numFmtId="0" fontId="11" fillId="0" borderId="91" xfId="0" applyFont="1" applyFill="1" applyBorder="1" applyAlignment="1" applyProtection="1">
      <alignment horizontal="center" vertical="center"/>
    </xf>
    <xf numFmtId="0" fontId="13" fillId="0" borderId="91" xfId="0" applyFont="1" applyBorder="1" applyAlignment="1">
      <alignment vertical="center"/>
    </xf>
    <xf numFmtId="0" fontId="11" fillId="10" borderId="91" xfId="0" applyFont="1" applyFill="1" applyBorder="1" applyAlignment="1" applyProtection="1">
      <alignment vertical="center"/>
    </xf>
    <xf numFmtId="0" fontId="11" fillId="10" borderId="92" xfId="0" applyFont="1" applyFill="1" applyBorder="1" applyAlignment="1" applyProtection="1">
      <alignment vertical="center"/>
    </xf>
    <xf numFmtId="164" fontId="13" fillId="0" borderId="51" xfId="1" applyNumberFormat="1" applyFont="1" applyFill="1" applyBorder="1"/>
    <xf numFmtId="0" fontId="10" fillId="0" borderId="91" xfId="0" applyFont="1" applyFill="1" applyBorder="1" applyAlignment="1">
      <alignment horizontal="center" vertical="center"/>
    </xf>
    <xf numFmtId="0" fontId="10" fillId="0" borderId="91" xfId="0" applyFont="1" applyFill="1" applyBorder="1" applyAlignment="1">
      <alignment vertical="center"/>
    </xf>
    <xf numFmtId="0" fontId="10" fillId="0" borderId="92" xfId="0" applyFont="1" applyFill="1" applyBorder="1" applyAlignment="1">
      <alignment vertical="center"/>
    </xf>
    <xf numFmtId="0" fontId="10" fillId="0" borderId="91" xfId="0" applyFont="1" applyBorder="1" applyAlignment="1">
      <alignment vertical="center"/>
    </xf>
    <xf numFmtId="0" fontId="10" fillId="0" borderId="92" xfId="0" applyFont="1" applyBorder="1" applyAlignment="1">
      <alignment vertical="center"/>
    </xf>
    <xf numFmtId="0" fontId="13" fillId="0" borderId="55" xfId="0" applyFont="1" applyBorder="1"/>
    <xf numFmtId="0" fontId="13" fillId="0" borderId="56" xfId="0" applyFont="1" applyBorder="1"/>
    <xf numFmtId="0" fontId="13" fillId="0" borderId="53" xfId="0" applyFont="1" applyBorder="1"/>
    <xf numFmtId="14" fontId="13" fillId="0" borderId="54" xfId="0" applyNumberFormat="1" applyFont="1" applyFill="1" applyBorder="1"/>
    <xf numFmtId="14" fontId="13" fillId="0" borderId="56" xfId="0" applyNumberFormat="1" applyFont="1" applyFill="1" applyBorder="1"/>
    <xf numFmtId="14" fontId="13" fillId="0" borderId="14" xfId="0" applyNumberFormat="1" applyFont="1" applyFill="1" applyBorder="1"/>
    <xf numFmtId="14" fontId="13" fillId="0" borderId="17" xfId="0" applyNumberFormat="1" applyFont="1" applyFill="1" applyBorder="1"/>
    <xf numFmtId="14" fontId="13" fillId="0" borderId="50" xfId="0" applyNumberFormat="1" applyFont="1" applyFill="1" applyBorder="1"/>
    <xf numFmtId="14" fontId="13" fillId="0" borderId="53" xfId="0" applyNumberFormat="1" applyFont="1" applyFill="1" applyBorder="1"/>
    <xf numFmtId="0" fontId="12" fillId="2" borderId="93" xfId="0" applyFont="1" applyFill="1" applyBorder="1" applyAlignment="1">
      <alignment horizontal="center" vertical="center" textRotation="90"/>
    </xf>
    <xf numFmtId="0" fontId="12" fillId="2" borderId="94" xfId="0" applyFont="1" applyFill="1" applyBorder="1" applyAlignment="1">
      <alignment horizontal="center" vertical="center"/>
    </xf>
    <xf numFmtId="0" fontId="13" fillId="0" borderId="60" xfId="0" applyFont="1" applyBorder="1"/>
    <xf numFmtId="0" fontId="13" fillId="0" borderId="52" xfId="0" applyFont="1" applyBorder="1"/>
    <xf numFmtId="0" fontId="12" fillId="2" borderId="95" xfId="0" applyFont="1" applyFill="1" applyBorder="1" applyAlignment="1">
      <alignment horizontal="center" vertical="center" textRotation="90"/>
    </xf>
    <xf numFmtId="0" fontId="12" fillId="2" borderId="96" xfId="0" applyFont="1" applyFill="1" applyBorder="1" applyAlignment="1">
      <alignment horizontal="center" vertical="center"/>
    </xf>
    <xf numFmtId="0" fontId="13" fillId="0" borderId="59" xfId="0" applyFont="1" applyBorder="1"/>
    <xf numFmtId="14" fontId="13" fillId="0" borderId="14" xfId="0" applyNumberFormat="1" applyFont="1" applyBorder="1"/>
    <xf numFmtId="14" fontId="13" fillId="0" borderId="50" xfId="0" applyNumberFormat="1" applyFont="1" applyBorder="1"/>
    <xf numFmtId="0" fontId="14" fillId="0" borderId="15" xfId="0" applyFont="1" applyFill="1" applyBorder="1"/>
    <xf numFmtId="0" fontId="14" fillId="0" borderId="57" xfId="0" applyFont="1" applyFill="1" applyBorder="1"/>
    <xf numFmtId="0" fontId="14" fillId="0" borderId="15" xfId="0" applyFont="1" applyBorder="1"/>
    <xf numFmtId="16" fontId="13" fillId="0" borderId="15" xfId="0" applyNumberFormat="1" applyFont="1" applyBorder="1"/>
    <xf numFmtId="0" fontId="14" fillId="0" borderId="49" xfId="0" applyFont="1" applyFill="1" applyBorder="1"/>
    <xf numFmtId="14" fontId="13" fillId="0" borderId="17" xfId="0" applyNumberFormat="1" applyFont="1" applyBorder="1"/>
    <xf numFmtId="0" fontId="14" fillId="0" borderId="49" xfId="0" applyFont="1" applyBorder="1"/>
    <xf numFmtId="14" fontId="13" fillId="0" borderId="53" xfId="0" applyNumberFormat="1" applyFont="1" applyBorder="1"/>
    <xf numFmtId="0" fontId="13" fillId="0" borderId="15" xfId="0" applyFont="1" applyBorder="1" applyAlignment="1">
      <alignment horizontal="center"/>
    </xf>
    <xf numFmtId="0" fontId="13" fillId="0" borderId="51" xfId="0" applyFont="1" applyBorder="1" applyAlignment="1">
      <alignment horizontal="center"/>
    </xf>
    <xf numFmtId="0" fontId="14" fillId="0" borderId="17" xfId="0" applyFont="1" applyFill="1" applyBorder="1"/>
    <xf numFmtId="0" fontId="9" fillId="0" borderId="66" xfId="0" applyFont="1" applyFill="1" applyBorder="1" applyAlignment="1">
      <alignment vertical="center"/>
    </xf>
    <xf numFmtId="14" fontId="9" fillId="0" borderId="80" xfId="0" applyNumberFormat="1" applyFont="1" applyFill="1" applyBorder="1" applyAlignment="1">
      <alignment vertical="center"/>
    </xf>
    <xf numFmtId="0" fontId="9" fillId="0" borderId="67" xfId="0" applyNumberFormat="1" applyFont="1" applyFill="1" applyBorder="1" applyAlignment="1">
      <alignment vertical="center"/>
    </xf>
    <xf numFmtId="0" fontId="13" fillId="6" borderId="87" xfId="0" applyFont="1" applyFill="1" applyBorder="1" applyAlignment="1">
      <alignment vertical="center"/>
    </xf>
    <xf numFmtId="0" fontId="11" fillId="6" borderId="88" xfId="0" applyFont="1" applyFill="1" applyBorder="1" applyAlignment="1" applyProtection="1">
      <alignment horizontal="center" vertical="center"/>
    </xf>
    <xf numFmtId="0" fontId="13" fillId="6" borderId="88" xfId="0" applyFont="1" applyFill="1" applyBorder="1" applyAlignment="1">
      <alignment vertical="center"/>
    </xf>
    <xf numFmtId="0" fontId="11" fillId="12" borderId="88" xfId="0" applyFont="1" applyFill="1" applyBorder="1" applyAlignment="1" applyProtection="1">
      <alignment vertical="center"/>
    </xf>
    <xf numFmtId="0" fontId="11" fillId="12" borderId="89" xfId="0" applyFont="1" applyFill="1" applyBorder="1" applyAlignment="1" applyProtection="1">
      <alignment vertical="center"/>
    </xf>
    <xf numFmtId="14" fontId="13" fillId="6" borderId="14" xfId="0" applyNumberFormat="1" applyFont="1" applyFill="1" applyBorder="1"/>
    <xf numFmtId="14" fontId="13" fillId="6" borderId="15" xfId="0" applyNumberFormat="1" applyFont="1" applyFill="1" applyBorder="1"/>
    <xf numFmtId="0" fontId="13" fillId="6" borderId="15" xfId="0" applyFont="1" applyFill="1" applyBorder="1" applyAlignment="1">
      <alignment horizontal="center"/>
    </xf>
    <xf numFmtId="164" fontId="13" fillId="6" borderId="15" xfId="1" applyNumberFormat="1" applyFont="1" applyFill="1" applyBorder="1"/>
    <xf numFmtId="14" fontId="13" fillId="6" borderId="17" xfId="0" applyNumberFormat="1" applyFont="1" applyFill="1" applyBorder="1"/>
    <xf numFmtId="0" fontId="13" fillId="6" borderId="15" xfId="0" applyFont="1" applyFill="1" applyBorder="1"/>
    <xf numFmtId="0" fontId="13" fillId="6" borderId="57" xfId="0" applyFont="1" applyFill="1" applyBorder="1"/>
    <xf numFmtId="0" fontId="13" fillId="6" borderId="49" xfId="0" applyFont="1" applyFill="1" applyBorder="1"/>
    <xf numFmtId="0" fontId="13" fillId="6" borderId="17" xfId="0" applyFont="1" applyFill="1" applyBorder="1"/>
    <xf numFmtId="0" fontId="10" fillId="6" borderId="88" xfId="0" applyFont="1" applyFill="1" applyBorder="1" applyAlignment="1">
      <alignment horizontal="center" vertical="center"/>
    </xf>
    <xf numFmtId="0" fontId="10" fillId="6" borderId="88" xfId="0" applyFont="1" applyFill="1" applyBorder="1" applyAlignment="1">
      <alignment vertical="center"/>
    </xf>
    <xf numFmtId="0" fontId="10" fillId="6" borderId="89" xfId="0" applyFont="1" applyFill="1" applyBorder="1" applyAlignment="1">
      <alignment vertical="center"/>
    </xf>
    <xf numFmtId="0" fontId="14" fillId="6" borderId="15" xfId="0" applyFont="1" applyFill="1" applyBorder="1"/>
    <xf numFmtId="14" fontId="13" fillId="6" borderId="46" xfId="0" applyNumberFormat="1" applyFont="1" applyFill="1" applyBorder="1"/>
    <xf numFmtId="14" fontId="13" fillId="6" borderId="47" xfId="0" applyNumberFormat="1" applyFont="1" applyFill="1" applyBorder="1"/>
    <xf numFmtId="0" fontId="13" fillId="6" borderId="47" xfId="0" applyFont="1" applyFill="1" applyBorder="1" applyAlignment="1">
      <alignment horizontal="center"/>
    </xf>
    <xf numFmtId="14" fontId="13" fillId="6" borderId="48" xfId="0" applyNumberFormat="1" applyFont="1" applyFill="1" applyBorder="1"/>
    <xf numFmtId="0" fontId="13" fillId="6" borderId="47" xfId="0" applyFont="1" applyFill="1" applyBorder="1"/>
    <xf numFmtId="0" fontId="13" fillId="6" borderId="96" xfId="0" applyFont="1" applyFill="1" applyBorder="1"/>
    <xf numFmtId="0" fontId="13" fillId="6" borderId="94" xfId="0" applyFont="1" applyFill="1" applyBorder="1"/>
    <xf numFmtId="0" fontId="13" fillId="6" borderId="48" xfId="0" applyFont="1" applyFill="1" applyBorder="1"/>
    <xf numFmtId="0" fontId="14" fillId="6" borderId="47" xfId="0" applyFont="1" applyFill="1" applyBorder="1"/>
    <xf numFmtId="0" fontId="14" fillId="6" borderId="96" xfId="0" applyFont="1" applyFill="1" applyBorder="1"/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textRotation="90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textRotation="90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13" xfId="0" applyFont="1" applyFill="1" applyBorder="1" applyAlignment="1">
      <alignment horizontal="center" vertical="center" textRotation="90"/>
    </xf>
    <xf numFmtId="0" fontId="8" fillId="2" borderId="10" xfId="0" applyFont="1" applyFill="1" applyBorder="1" applyAlignment="1">
      <alignment horizontal="center" vertical="center" textRotation="90" wrapText="1"/>
    </xf>
    <xf numFmtId="0" fontId="8" fillId="2" borderId="11" xfId="0" applyFont="1" applyFill="1" applyBorder="1" applyAlignment="1">
      <alignment horizontal="center" vertical="center" textRotation="90" wrapText="1"/>
    </xf>
    <xf numFmtId="0" fontId="8" fillId="2" borderId="13" xfId="0" applyFont="1" applyFill="1" applyBorder="1" applyAlignment="1">
      <alignment horizontal="center" vertical="center" textRotation="90" wrapText="1"/>
    </xf>
    <xf numFmtId="0" fontId="8" fillId="2" borderId="46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14" fontId="9" fillId="0" borderId="0" xfId="0" applyNumberFormat="1" applyFont="1"/>
    <xf numFmtId="164" fontId="9" fillId="0" borderId="0" xfId="1" applyNumberFormat="1" applyFont="1"/>
    <xf numFmtId="14" fontId="9" fillId="0" borderId="97" xfId="0" applyNumberFormat="1" applyFont="1" applyBorder="1"/>
    <xf numFmtId="14" fontId="9" fillId="0" borderId="98" xfId="0" applyNumberFormat="1" applyFont="1" applyBorder="1"/>
    <xf numFmtId="0" fontId="9" fillId="0" borderId="98" xfId="0" applyFont="1" applyBorder="1" applyAlignment="1">
      <alignment horizontal="center"/>
    </xf>
    <xf numFmtId="164" fontId="9" fillId="0" borderId="98" xfId="1" applyNumberFormat="1" applyFont="1" applyBorder="1"/>
    <xf numFmtId="0" fontId="9" fillId="0" borderId="98" xfId="0" applyFont="1" applyFill="1" applyBorder="1" applyAlignment="1">
      <alignment horizontal="center"/>
    </xf>
    <xf numFmtId="14" fontId="9" fillId="0" borderId="99" xfId="0" applyNumberFormat="1" applyFont="1" applyFill="1" applyBorder="1"/>
    <xf numFmtId="0" fontId="9" fillId="0" borderId="97" xfId="0" applyFont="1" applyBorder="1"/>
    <xf numFmtId="0" fontId="9" fillId="0" borderId="98" xfId="0" applyFont="1" applyBorder="1"/>
    <xf numFmtId="0" fontId="9" fillId="0" borderId="99" xfId="0" applyFont="1" applyBorder="1"/>
    <xf numFmtId="14" fontId="9" fillId="0" borderId="39" xfId="0" applyNumberFormat="1" applyFont="1" applyBorder="1"/>
    <xf numFmtId="14" fontId="9" fillId="0" borderId="25" xfId="0" applyNumberFormat="1" applyFont="1" applyBorder="1"/>
    <xf numFmtId="0" fontId="9" fillId="0" borderId="25" xfId="0" applyFont="1" applyBorder="1" applyAlignment="1">
      <alignment horizontal="center"/>
    </xf>
    <xf numFmtId="164" fontId="9" fillId="0" borderId="25" xfId="1" applyNumberFormat="1" applyFont="1" applyBorder="1"/>
    <xf numFmtId="0" fontId="9" fillId="0" borderId="25" xfId="0" applyFont="1" applyFill="1" applyBorder="1" applyAlignment="1">
      <alignment horizontal="center"/>
    </xf>
    <xf numFmtId="14" fontId="9" fillId="0" borderId="40" xfId="0" applyNumberFormat="1" applyFont="1" applyFill="1" applyBorder="1"/>
    <xf numFmtId="0" fontId="9" fillId="0" borderId="39" xfId="0" applyFont="1" applyBorder="1"/>
    <xf numFmtId="0" fontId="9" fillId="0" borderId="25" xfId="0" applyFont="1" applyBorder="1"/>
    <xf numFmtId="0" fontId="9" fillId="0" borderId="40" xfId="0" applyFont="1" applyBorder="1"/>
    <xf numFmtId="0" fontId="9" fillId="0" borderId="39" xfId="0" applyFont="1" applyFill="1" applyBorder="1"/>
    <xf numFmtId="0" fontId="9" fillId="0" borderId="25" xfId="0" applyFont="1" applyFill="1" applyBorder="1"/>
    <xf numFmtId="0" fontId="9" fillId="0" borderId="40" xfId="0" applyFont="1" applyFill="1" applyBorder="1"/>
    <xf numFmtId="166" fontId="9" fillId="0" borderId="25" xfId="0" applyNumberFormat="1" applyFont="1" applyBorder="1"/>
    <xf numFmtId="14" fontId="9" fillId="0" borderId="25" xfId="0" applyNumberFormat="1" applyFont="1" applyFill="1" applyBorder="1"/>
    <xf numFmtId="164" fontId="9" fillId="0" borderId="25" xfId="1" applyNumberFormat="1" applyFont="1" applyFill="1" applyBorder="1"/>
    <xf numFmtId="14" fontId="9" fillId="0" borderId="100" xfId="0" applyNumberFormat="1" applyFont="1" applyBorder="1"/>
    <xf numFmtId="14" fontId="9" fillId="0" borderId="101" xfId="0" applyNumberFormat="1" applyFont="1" applyFill="1" applyBorder="1"/>
    <xf numFmtId="0" fontId="9" fillId="0" borderId="101" xfId="0" applyFont="1" applyBorder="1" applyAlignment="1">
      <alignment horizontal="center"/>
    </xf>
    <xf numFmtId="0" fontId="9" fillId="0" borderId="101" xfId="0" applyFont="1" applyFill="1" applyBorder="1" applyAlignment="1">
      <alignment horizontal="center"/>
    </xf>
    <xf numFmtId="164" fontId="9" fillId="0" borderId="101" xfId="1" applyNumberFormat="1" applyFont="1" applyFill="1" applyBorder="1"/>
    <xf numFmtId="14" fontId="9" fillId="0" borderId="102" xfId="0" applyNumberFormat="1" applyFont="1" applyFill="1" applyBorder="1"/>
    <xf numFmtId="0" fontId="9" fillId="0" borderId="100" xfId="0" applyFont="1" applyBorder="1"/>
    <xf numFmtId="0" fontId="9" fillId="0" borderId="101" xfId="0" applyFont="1" applyBorder="1"/>
    <xf numFmtId="0" fontId="9" fillId="0" borderId="102" xfId="0" applyFont="1" applyBorder="1"/>
    <xf numFmtId="14" fontId="9" fillId="0" borderId="98" xfId="0" applyNumberFormat="1" applyFont="1" applyFill="1" applyBorder="1"/>
    <xf numFmtId="164" fontId="9" fillId="0" borderId="98" xfId="1" applyNumberFormat="1" applyFont="1" applyFill="1" applyBorder="1"/>
    <xf numFmtId="2" fontId="9" fillId="0" borderId="25" xfId="0" applyNumberFormat="1" applyFont="1" applyFill="1" applyBorder="1"/>
    <xf numFmtId="0" fontId="14" fillId="6" borderId="17" xfId="0" applyFont="1" applyFill="1" applyBorder="1"/>
    <xf numFmtId="2" fontId="9" fillId="6" borderId="67" xfId="0" applyNumberFormat="1" applyFont="1" applyFill="1" applyBorder="1" applyAlignment="1">
      <alignment vertical="center"/>
    </xf>
    <xf numFmtId="14" fontId="9" fillId="0" borderId="103" xfId="0" applyNumberFormat="1" applyFont="1" applyBorder="1"/>
    <xf numFmtId="14" fontId="9" fillId="0" borderId="104" xfId="0" applyNumberFormat="1" applyFont="1" applyFill="1" applyBorder="1"/>
    <xf numFmtId="0" fontId="9" fillId="0" borderId="104" xfId="0" applyFont="1" applyBorder="1" applyAlignment="1">
      <alignment horizontal="center"/>
    </xf>
    <xf numFmtId="0" fontId="9" fillId="0" borderId="104" xfId="0" applyFont="1" applyFill="1" applyBorder="1" applyAlignment="1">
      <alignment horizontal="center"/>
    </xf>
    <xf numFmtId="14" fontId="9" fillId="0" borderId="105" xfId="0" applyNumberFormat="1" applyFont="1" applyFill="1" applyBorder="1"/>
    <xf numFmtId="0" fontId="9" fillId="0" borderId="103" xfId="0" applyFont="1" applyBorder="1"/>
    <xf numFmtId="0" fontId="9" fillId="0" borderId="104" xfId="0" applyFont="1" applyBorder="1"/>
    <xf numFmtId="0" fontId="9" fillId="0" borderId="105" xfId="0" applyFont="1" applyBorder="1"/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textRotation="90"/>
    </xf>
    <xf numFmtId="0" fontId="8" fillId="2" borderId="0" xfId="0" applyFont="1" applyFill="1" applyBorder="1" applyAlignment="1">
      <alignment horizontal="center" vertical="center" textRotation="90"/>
    </xf>
    <xf numFmtId="0" fontId="8" fillId="2" borderId="3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textRotation="90"/>
    </xf>
    <xf numFmtId="0" fontId="12" fillId="2" borderId="47" xfId="0" applyFont="1" applyFill="1" applyBorder="1" applyAlignment="1">
      <alignment horizontal="center" vertical="center" textRotation="90"/>
    </xf>
    <xf numFmtId="0" fontId="12" fillId="2" borderId="10" xfId="0" applyFont="1" applyFill="1" applyBorder="1" applyAlignment="1">
      <alignment horizontal="center" vertical="center" wrapText="1"/>
    </xf>
    <xf numFmtId="0" fontId="12" fillId="2" borderId="46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47" xfId="0" applyFont="1" applyFill="1" applyBorder="1" applyAlignment="1">
      <alignment horizontal="center" vertical="center" textRotation="90"/>
    </xf>
    <xf numFmtId="0" fontId="3" fillId="2" borderId="11" xfId="0" applyFont="1" applyFill="1" applyBorder="1" applyAlignment="1">
      <alignment horizontal="center" vertical="center" textRotation="90"/>
    </xf>
    <xf numFmtId="0" fontId="3" fillId="2" borderId="15" xfId="0" applyFont="1" applyFill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90"/>
    </xf>
    <xf numFmtId="0" fontId="3" fillId="2" borderId="23" xfId="0" applyFont="1" applyFill="1" applyBorder="1" applyAlignment="1">
      <alignment horizontal="center" vertical="center" textRotation="90"/>
    </xf>
    <xf numFmtId="1" fontId="3" fillId="2" borderId="11" xfId="0" applyNumberFormat="1" applyFont="1" applyFill="1" applyBorder="1" applyAlignment="1">
      <alignment horizontal="center" vertical="center" textRotation="90"/>
    </xf>
    <xf numFmtId="1" fontId="3" fillId="2" borderId="15" xfId="0" applyNumberFormat="1" applyFont="1" applyFill="1" applyBorder="1" applyAlignment="1">
      <alignment horizontal="center" vertical="center" textRotation="90"/>
    </xf>
    <xf numFmtId="164" fontId="3" fillId="2" borderId="11" xfId="0" applyNumberFormat="1" applyFont="1" applyFill="1" applyBorder="1" applyAlignment="1">
      <alignment horizontal="center" vertical="center" textRotation="90"/>
    </xf>
    <xf numFmtId="164" fontId="3" fillId="2" borderId="15" xfId="0" applyNumberFormat="1" applyFont="1" applyFill="1" applyBorder="1" applyAlignment="1">
      <alignment horizontal="center" vertical="center" textRotation="90"/>
    </xf>
    <xf numFmtId="164" fontId="3" fillId="2" borderId="47" xfId="0" applyNumberFormat="1" applyFont="1" applyFill="1" applyBorder="1" applyAlignment="1">
      <alignment horizontal="center" vertical="center" textRotation="90"/>
    </xf>
    <xf numFmtId="0" fontId="3" fillId="2" borderId="47" xfId="0" applyFont="1" applyFill="1" applyBorder="1" applyAlignment="1">
      <alignment horizontal="center" vertical="center" textRotation="90"/>
    </xf>
    <xf numFmtId="0" fontId="3" fillId="2" borderId="4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textRotation="90"/>
    </xf>
    <xf numFmtId="0" fontId="3" fillId="2" borderId="0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1" fontId="3" fillId="2" borderId="47" xfId="0" applyNumberFormat="1" applyFont="1" applyFill="1" applyBorder="1" applyAlignment="1">
      <alignment horizontal="center" vertical="center" textRotation="90"/>
    </xf>
    <xf numFmtId="0" fontId="3" fillId="2" borderId="5" xfId="0" applyFont="1" applyFill="1" applyBorder="1" applyAlignment="1">
      <alignment horizontal="center" vertical="center" textRotation="90"/>
    </xf>
  </cellXfs>
  <cellStyles count="2">
    <cellStyle name="Normalny" xfId="0" builtinId="0"/>
    <cellStyle name="Procentowy" xfId="1" builtinId="5"/>
  </cellStyles>
  <dxfs count="5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/>
  <dimension ref="A1:H20"/>
  <sheetViews>
    <sheetView workbookViewId="0">
      <selection activeCell="A16" sqref="A16"/>
    </sheetView>
  </sheetViews>
  <sheetFormatPr defaultRowHeight="14.4"/>
  <cols>
    <col min="1" max="1" width="10.44140625" bestFit="1" customWidth="1"/>
    <col min="3" max="4" width="9.88671875" bestFit="1" customWidth="1"/>
  </cols>
  <sheetData>
    <row r="1" spans="1:8">
      <c r="A1" s="1">
        <v>41943</v>
      </c>
      <c r="B1">
        <v>48</v>
      </c>
      <c r="C1" s="2">
        <v>161.22</v>
      </c>
    </row>
    <row r="2" spans="1:8">
      <c r="A2" s="1">
        <v>41944</v>
      </c>
      <c r="B2">
        <v>49</v>
      </c>
      <c r="C2" s="2">
        <f t="shared" ref="C2:C18" si="0">C1*1.01</f>
        <v>162.8322</v>
      </c>
    </row>
    <row r="3" spans="1:8">
      <c r="A3" s="1">
        <v>41945</v>
      </c>
      <c r="B3">
        <v>50</v>
      </c>
      <c r="C3" s="2">
        <f t="shared" si="0"/>
        <v>164.460522</v>
      </c>
    </row>
    <row r="4" spans="1:8">
      <c r="A4" s="1">
        <v>41946</v>
      </c>
      <c r="B4">
        <v>51</v>
      </c>
      <c r="C4" s="2">
        <f t="shared" si="0"/>
        <v>166.10512721999999</v>
      </c>
    </row>
    <row r="5" spans="1:8">
      <c r="A5" s="1">
        <v>41947</v>
      </c>
      <c r="B5">
        <v>52</v>
      </c>
      <c r="C5" s="2">
        <f t="shared" si="0"/>
        <v>167.7661784922</v>
      </c>
    </row>
    <row r="6" spans="1:8">
      <c r="A6" s="1">
        <v>41948</v>
      </c>
      <c r="B6">
        <v>53</v>
      </c>
      <c r="C6" s="2">
        <f t="shared" si="0"/>
        <v>169.44384027712201</v>
      </c>
    </row>
    <row r="7" spans="1:8">
      <c r="A7" s="1">
        <v>41949</v>
      </c>
      <c r="B7">
        <v>54</v>
      </c>
      <c r="C7" s="2">
        <f t="shared" si="0"/>
        <v>171.13827867989323</v>
      </c>
    </row>
    <row r="8" spans="1:8">
      <c r="A8" s="1">
        <v>41950</v>
      </c>
      <c r="B8">
        <v>55</v>
      </c>
      <c r="C8" s="2">
        <f t="shared" si="0"/>
        <v>172.84966146669217</v>
      </c>
    </row>
    <row r="9" spans="1:8">
      <c r="A9" s="1">
        <v>41951</v>
      </c>
      <c r="B9">
        <v>56</v>
      </c>
      <c r="C9" s="2">
        <f t="shared" si="0"/>
        <v>174.57815808135908</v>
      </c>
    </row>
    <row r="10" spans="1:8">
      <c r="A10" s="1">
        <v>41952</v>
      </c>
      <c r="B10">
        <v>57</v>
      </c>
      <c r="C10" s="2">
        <f t="shared" si="0"/>
        <v>176.32393966217268</v>
      </c>
    </row>
    <row r="11" spans="1:8">
      <c r="A11" s="1">
        <v>41953</v>
      </c>
      <c r="B11">
        <v>58</v>
      </c>
      <c r="C11" s="2">
        <f t="shared" si="0"/>
        <v>178.08717905879442</v>
      </c>
    </row>
    <row r="12" spans="1:8">
      <c r="A12" s="1">
        <v>41954</v>
      </c>
      <c r="B12">
        <v>59</v>
      </c>
      <c r="C12" s="2">
        <f t="shared" si="0"/>
        <v>179.86805084938237</v>
      </c>
    </row>
    <row r="13" spans="1:8">
      <c r="A13" s="1">
        <v>41955</v>
      </c>
      <c r="B13">
        <v>60</v>
      </c>
      <c r="C13" s="2">
        <f t="shared" si="0"/>
        <v>181.66673135787619</v>
      </c>
    </row>
    <row r="14" spans="1:8">
      <c r="A14" s="1">
        <v>41956</v>
      </c>
      <c r="B14">
        <v>61</v>
      </c>
      <c r="C14" s="2">
        <f t="shared" si="0"/>
        <v>183.48339867145495</v>
      </c>
    </row>
    <row r="15" spans="1:8">
      <c r="A15" s="1">
        <v>41957</v>
      </c>
      <c r="B15">
        <v>62</v>
      </c>
      <c r="C15" s="2">
        <f t="shared" si="0"/>
        <v>185.31823265816951</v>
      </c>
    </row>
    <row r="16" spans="1:8">
      <c r="A16" s="1">
        <v>41958</v>
      </c>
      <c r="B16">
        <v>63</v>
      </c>
      <c r="C16" s="2">
        <f t="shared" si="0"/>
        <v>187.17141498475121</v>
      </c>
      <c r="E16">
        <v>75</v>
      </c>
      <c r="F16">
        <v>75</v>
      </c>
      <c r="G16">
        <v>37.5</v>
      </c>
      <c r="H16">
        <f>E16+F16+G16</f>
        <v>187.5</v>
      </c>
    </row>
    <row r="17" spans="1:3">
      <c r="A17" s="1">
        <v>41959</v>
      </c>
      <c r="B17">
        <v>64</v>
      </c>
      <c r="C17" s="2">
        <f t="shared" si="0"/>
        <v>189.04312913459873</v>
      </c>
    </row>
    <row r="18" spans="1:3">
      <c r="A18" s="1">
        <v>41960</v>
      </c>
      <c r="B18">
        <v>65</v>
      </c>
      <c r="C18" s="2">
        <f t="shared" si="0"/>
        <v>190.93356042594471</v>
      </c>
    </row>
    <row r="19" spans="1:3">
      <c r="A19" s="1">
        <v>41961</v>
      </c>
      <c r="B19">
        <v>66</v>
      </c>
      <c r="C19" s="2">
        <f>C18*1.01</f>
        <v>192.84289603020414</v>
      </c>
    </row>
    <row r="20" spans="1:3">
      <c r="A20" s="1">
        <v>41962</v>
      </c>
      <c r="B20">
        <v>67</v>
      </c>
      <c r="C20" s="2">
        <f>C19*1.01</f>
        <v>194.7713249905062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workbookViewId="0">
      <pane xSplit="6" ySplit="2" topLeftCell="G110" activePane="bottomRight" state="frozen"/>
      <selection activeCell="I120" sqref="I120"/>
      <selection pane="topRight" activeCell="I120" sqref="I120"/>
      <selection pane="bottomLeft" activeCell="I120" sqref="I120"/>
      <selection pane="bottomRight" activeCell="F128" sqref="F128"/>
    </sheetView>
  </sheetViews>
  <sheetFormatPr defaultColWidth="9.109375" defaultRowHeight="13.8"/>
  <cols>
    <col min="1" max="1" width="7.6640625" style="252" bestFit="1" customWidth="1"/>
    <col min="2" max="2" width="5.88671875" style="252" bestFit="1" customWidth="1"/>
    <col min="3" max="3" width="4.33203125" style="252" customWidth="1"/>
    <col min="4" max="4" width="9.109375" style="252"/>
    <col min="5" max="5" width="22.5546875" style="252" bestFit="1" customWidth="1"/>
    <col min="6" max="6" width="19.109375" style="252" bestFit="1" customWidth="1"/>
    <col min="7" max="16384" width="9.109375" style="252"/>
  </cols>
  <sheetData>
    <row r="1" spans="1:6" ht="15.75" customHeight="1">
      <c r="A1" s="547" t="s">
        <v>3</v>
      </c>
      <c r="B1" s="547" t="s">
        <v>4</v>
      </c>
      <c r="C1" s="547" t="s">
        <v>6</v>
      </c>
      <c r="D1" s="547" t="s">
        <v>5</v>
      </c>
      <c r="E1" s="547" t="s">
        <v>202</v>
      </c>
      <c r="F1" s="547" t="s">
        <v>42</v>
      </c>
    </row>
    <row r="2" spans="1:6" ht="15" customHeight="1" thickBot="1">
      <c r="A2" s="547"/>
      <c r="B2" s="547"/>
      <c r="C2" s="547"/>
      <c r="D2" s="547"/>
      <c r="E2" s="547"/>
      <c r="F2" s="547"/>
    </row>
    <row r="3" spans="1:6" ht="15" customHeight="1" thickTop="1">
      <c r="A3" s="264">
        <v>3196</v>
      </c>
      <c r="B3" s="265" t="s">
        <v>21</v>
      </c>
      <c r="C3" s="265">
        <v>1</v>
      </c>
      <c r="D3" s="266">
        <v>2</v>
      </c>
      <c r="E3" s="259" t="s">
        <v>51</v>
      </c>
      <c r="F3" s="307" t="s">
        <v>66</v>
      </c>
    </row>
    <row r="4" spans="1:6">
      <c r="A4" s="274">
        <v>3197</v>
      </c>
      <c r="B4" s="275" t="s">
        <v>21</v>
      </c>
      <c r="C4" s="275">
        <v>2</v>
      </c>
      <c r="D4" s="276">
        <v>3</v>
      </c>
      <c r="E4" s="260" t="s">
        <v>134</v>
      </c>
      <c r="F4" s="308" t="s">
        <v>14</v>
      </c>
    </row>
    <row r="5" spans="1:6">
      <c r="A5" s="274">
        <v>3198</v>
      </c>
      <c r="B5" s="275" t="s">
        <v>21</v>
      </c>
      <c r="C5" s="275">
        <v>3</v>
      </c>
      <c r="D5" s="276">
        <v>1</v>
      </c>
      <c r="E5" s="260" t="s">
        <v>564</v>
      </c>
      <c r="F5" s="308" t="s">
        <v>400</v>
      </c>
    </row>
    <row r="6" spans="1:6">
      <c r="A6" s="274">
        <v>3199</v>
      </c>
      <c r="B6" s="275" t="s">
        <v>21</v>
      </c>
      <c r="C6" s="275">
        <v>4</v>
      </c>
      <c r="D6" s="276">
        <v>3</v>
      </c>
      <c r="E6" s="260" t="s">
        <v>87</v>
      </c>
      <c r="F6" s="308" t="s">
        <v>176</v>
      </c>
    </row>
    <row r="7" spans="1:6">
      <c r="A7" s="274">
        <v>3200</v>
      </c>
      <c r="B7" s="275" t="s">
        <v>21</v>
      </c>
      <c r="C7" s="275">
        <v>5</v>
      </c>
      <c r="D7" s="276">
        <v>1</v>
      </c>
      <c r="E7" s="260" t="s">
        <v>565</v>
      </c>
      <c r="F7" s="308" t="s">
        <v>48</v>
      </c>
    </row>
    <row r="8" spans="1:6">
      <c r="A8" s="274">
        <v>3201</v>
      </c>
      <c r="B8" s="275" t="s">
        <v>21</v>
      </c>
      <c r="C8" s="275">
        <v>6</v>
      </c>
      <c r="D8" s="276">
        <v>1</v>
      </c>
      <c r="E8" s="260" t="s">
        <v>566</v>
      </c>
      <c r="F8" s="308" t="s">
        <v>681</v>
      </c>
    </row>
    <row r="9" spans="1:6">
      <c r="A9" s="274">
        <v>3202</v>
      </c>
      <c r="B9" s="275" t="s">
        <v>21</v>
      </c>
      <c r="C9" s="275">
        <v>7</v>
      </c>
      <c r="D9" s="276">
        <v>1</v>
      </c>
      <c r="E9" s="260" t="s">
        <v>89</v>
      </c>
      <c r="F9" s="308" t="s">
        <v>567</v>
      </c>
    </row>
    <row r="10" spans="1:6">
      <c r="A10" s="274">
        <v>3203</v>
      </c>
      <c r="B10" s="275" t="s">
        <v>21</v>
      </c>
      <c r="C10" s="275">
        <v>8</v>
      </c>
      <c r="D10" s="276">
        <v>3</v>
      </c>
      <c r="E10" s="260" t="s">
        <v>568</v>
      </c>
      <c r="F10" s="308" t="s">
        <v>67</v>
      </c>
    </row>
    <row r="11" spans="1:6">
      <c r="A11" s="274">
        <v>3204</v>
      </c>
      <c r="B11" s="283" t="s">
        <v>21</v>
      </c>
      <c r="C11" s="283">
        <v>9</v>
      </c>
      <c r="D11" s="276">
        <v>3</v>
      </c>
      <c r="E11" s="261" t="s">
        <v>569</v>
      </c>
      <c r="F11" s="309" t="s">
        <v>189</v>
      </c>
    </row>
    <row r="12" spans="1:6">
      <c r="A12" s="274">
        <v>3322</v>
      </c>
      <c r="B12" s="283" t="s">
        <v>21</v>
      </c>
      <c r="C12" s="283">
        <v>10</v>
      </c>
      <c r="D12" s="276">
        <v>2</v>
      </c>
      <c r="E12" s="261" t="s">
        <v>570</v>
      </c>
      <c r="F12" s="309" t="s">
        <v>571</v>
      </c>
    </row>
    <row r="13" spans="1:6">
      <c r="A13" s="274">
        <v>3206</v>
      </c>
      <c r="B13" s="283" t="s">
        <v>21</v>
      </c>
      <c r="C13" s="283">
        <v>11</v>
      </c>
      <c r="D13" s="276">
        <v>2</v>
      </c>
      <c r="E13" s="261" t="s">
        <v>45</v>
      </c>
      <c r="F13" s="309" t="s">
        <v>48</v>
      </c>
    </row>
    <row r="14" spans="1:6">
      <c r="A14" s="274">
        <v>3205</v>
      </c>
      <c r="B14" s="283" t="s">
        <v>21</v>
      </c>
      <c r="C14" s="283">
        <v>12</v>
      </c>
      <c r="D14" s="276">
        <v>2</v>
      </c>
      <c r="E14" s="261" t="s">
        <v>572</v>
      </c>
      <c r="F14" s="309" t="s">
        <v>684</v>
      </c>
    </row>
    <row r="15" spans="1:6">
      <c r="A15" s="274">
        <v>3207</v>
      </c>
      <c r="B15" s="275" t="s">
        <v>21</v>
      </c>
      <c r="C15" s="275">
        <v>13</v>
      </c>
      <c r="D15" s="276">
        <v>1</v>
      </c>
      <c r="E15" s="260" t="s">
        <v>573</v>
      </c>
      <c r="F15" s="308" t="s">
        <v>10</v>
      </c>
    </row>
    <row r="16" spans="1:6">
      <c r="A16" s="274">
        <v>3208</v>
      </c>
      <c r="B16" s="283" t="s">
        <v>21</v>
      </c>
      <c r="C16" s="283">
        <v>14</v>
      </c>
      <c r="D16" s="276">
        <v>3</v>
      </c>
      <c r="E16" s="261" t="s">
        <v>574</v>
      </c>
      <c r="F16" s="309" t="s">
        <v>679</v>
      </c>
    </row>
    <row r="17" spans="1:6">
      <c r="A17" s="274">
        <v>3351</v>
      </c>
      <c r="B17" s="283" t="s">
        <v>21</v>
      </c>
      <c r="C17" s="283">
        <v>15</v>
      </c>
      <c r="D17" s="276">
        <v>2</v>
      </c>
      <c r="E17" s="287" t="s">
        <v>92</v>
      </c>
      <c r="F17" s="310" t="s">
        <v>82</v>
      </c>
    </row>
    <row r="18" spans="1:6">
      <c r="A18" s="274">
        <v>3209</v>
      </c>
      <c r="B18" s="283" t="s">
        <v>21</v>
      </c>
      <c r="C18" s="283">
        <v>16</v>
      </c>
      <c r="D18" s="276">
        <v>2</v>
      </c>
      <c r="E18" s="261" t="s">
        <v>575</v>
      </c>
      <c r="F18" s="309" t="s">
        <v>0</v>
      </c>
    </row>
    <row r="19" spans="1:6">
      <c r="A19" s="274">
        <v>3210</v>
      </c>
      <c r="B19" s="275" t="s">
        <v>21</v>
      </c>
      <c r="C19" s="275">
        <v>17</v>
      </c>
      <c r="D19" s="276">
        <v>3</v>
      </c>
      <c r="E19" s="260" t="s">
        <v>576</v>
      </c>
      <c r="F19" s="308" t="s">
        <v>181</v>
      </c>
    </row>
    <row r="20" spans="1:6">
      <c r="A20" s="274">
        <v>3211</v>
      </c>
      <c r="B20" s="275" t="s">
        <v>21</v>
      </c>
      <c r="C20" s="275">
        <v>18</v>
      </c>
      <c r="D20" s="276">
        <v>3</v>
      </c>
      <c r="E20" s="260" t="s">
        <v>577</v>
      </c>
      <c r="F20" s="308" t="s">
        <v>125</v>
      </c>
    </row>
    <row r="21" spans="1:6">
      <c r="A21" s="274">
        <v>3212</v>
      </c>
      <c r="B21" s="283" t="s">
        <v>21</v>
      </c>
      <c r="C21" s="283">
        <v>19</v>
      </c>
      <c r="D21" s="276">
        <v>2</v>
      </c>
      <c r="E21" s="261" t="s">
        <v>672</v>
      </c>
      <c r="F21" s="309" t="s">
        <v>678</v>
      </c>
    </row>
    <row r="22" spans="1:6">
      <c r="A22" s="274">
        <v>3213</v>
      </c>
      <c r="B22" s="275" t="s">
        <v>21</v>
      </c>
      <c r="C22" s="275">
        <v>20</v>
      </c>
      <c r="D22" s="276">
        <v>1</v>
      </c>
      <c r="E22" s="260" t="s">
        <v>380</v>
      </c>
      <c r="F22" s="308" t="s">
        <v>80</v>
      </c>
    </row>
    <row r="23" spans="1:6">
      <c r="A23" s="274">
        <v>3214</v>
      </c>
      <c r="B23" s="275" t="s">
        <v>21</v>
      </c>
      <c r="C23" s="275">
        <v>21</v>
      </c>
      <c r="D23" s="276">
        <v>1</v>
      </c>
      <c r="E23" s="260" t="s">
        <v>122</v>
      </c>
      <c r="F23" s="308" t="s">
        <v>79</v>
      </c>
    </row>
    <row r="24" spans="1:6">
      <c r="A24" s="274">
        <v>3215</v>
      </c>
      <c r="B24" s="275" t="s">
        <v>21</v>
      </c>
      <c r="C24" s="275">
        <v>22</v>
      </c>
      <c r="D24" s="276">
        <v>3</v>
      </c>
      <c r="E24" s="260" t="s">
        <v>578</v>
      </c>
      <c r="F24" s="308" t="s">
        <v>65</v>
      </c>
    </row>
    <row r="25" spans="1:6">
      <c r="A25" s="274">
        <v>3216</v>
      </c>
      <c r="B25" s="275" t="s">
        <v>21</v>
      </c>
      <c r="C25" s="275">
        <v>23</v>
      </c>
      <c r="D25" s="276">
        <v>1</v>
      </c>
      <c r="E25" s="260" t="s">
        <v>579</v>
      </c>
      <c r="F25" s="308" t="s">
        <v>127</v>
      </c>
    </row>
    <row r="26" spans="1:6">
      <c r="A26" s="274">
        <v>3217</v>
      </c>
      <c r="B26" s="283" t="s">
        <v>21</v>
      </c>
      <c r="C26" s="283">
        <v>24</v>
      </c>
      <c r="D26" s="276">
        <v>2</v>
      </c>
      <c r="E26" s="261" t="s">
        <v>439</v>
      </c>
      <c r="F26" s="309" t="s">
        <v>47</v>
      </c>
    </row>
    <row r="27" spans="1:6">
      <c r="A27" s="274">
        <v>3218</v>
      </c>
      <c r="B27" s="275" t="s">
        <v>21</v>
      </c>
      <c r="C27" s="275">
        <v>25</v>
      </c>
      <c r="D27" s="276">
        <v>3</v>
      </c>
      <c r="E27" s="260" t="s">
        <v>580</v>
      </c>
      <c r="F27" s="308" t="s">
        <v>11</v>
      </c>
    </row>
    <row r="28" spans="1:6">
      <c r="A28" s="274">
        <v>3219</v>
      </c>
      <c r="B28" s="283" t="s">
        <v>21</v>
      </c>
      <c r="C28" s="283">
        <v>26</v>
      </c>
      <c r="D28" s="276">
        <v>3</v>
      </c>
      <c r="E28" s="261" t="s">
        <v>581</v>
      </c>
      <c r="F28" s="309" t="s">
        <v>685</v>
      </c>
    </row>
    <row r="29" spans="1:6">
      <c r="A29" s="274">
        <v>3220</v>
      </c>
      <c r="B29" s="275" t="s">
        <v>21</v>
      </c>
      <c r="C29" s="275">
        <v>27</v>
      </c>
      <c r="D29" s="276">
        <v>1</v>
      </c>
      <c r="E29" s="260" t="s">
        <v>582</v>
      </c>
      <c r="F29" s="308" t="s">
        <v>593</v>
      </c>
    </row>
    <row r="30" spans="1:6">
      <c r="A30" s="274">
        <v>3221</v>
      </c>
      <c r="B30" s="283" t="s">
        <v>21</v>
      </c>
      <c r="C30" s="283">
        <v>28</v>
      </c>
      <c r="D30" s="276">
        <v>2</v>
      </c>
      <c r="E30" s="261" t="s">
        <v>583</v>
      </c>
      <c r="F30" s="309" t="s">
        <v>127</v>
      </c>
    </row>
    <row r="31" spans="1:6">
      <c r="A31" s="274">
        <v>3222</v>
      </c>
      <c r="B31" s="283" t="s">
        <v>21</v>
      </c>
      <c r="C31" s="283">
        <v>29</v>
      </c>
      <c r="D31" s="276">
        <v>1</v>
      </c>
      <c r="E31" s="261" t="s">
        <v>584</v>
      </c>
      <c r="F31" s="309" t="s">
        <v>12</v>
      </c>
    </row>
    <row r="32" spans="1:6">
      <c r="A32" s="274">
        <v>3350</v>
      </c>
      <c r="B32" s="283" t="s">
        <v>21</v>
      </c>
      <c r="C32" s="283">
        <v>30</v>
      </c>
      <c r="D32" s="276">
        <v>2</v>
      </c>
      <c r="E32" s="287" t="s">
        <v>59</v>
      </c>
      <c r="F32" s="310" t="s">
        <v>379</v>
      </c>
    </row>
    <row r="33" spans="1:6">
      <c r="A33" s="274">
        <v>3223</v>
      </c>
      <c r="B33" s="283" t="s">
        <v>21</v>
      </c>
      <c r="C33" s="283">
        <v>31</v>
      </c>
      <c r="D33" s="276">
        <v>2</v>
      </c>
      <c r="E33" s="261" t="s">
        <v>413</v>
      </c>
      <c r="F33" s="309" t="s">
        <v>9</v>
      </c>
    </row>
    <row r="34" spans="1:6">
      <c r="A34" s="274">
        <v>3224</v>
      </c>
      <c r="B34" s="275" t="s">
        <v>21</v>
      </c>
      <c r="C34" s="275">
        <v>32</v>
      </c>
      <c r="D34" s="276">
        <v>1</v>
      </c>
      <c r="E34" s="260" t="s">
        <v>1</v>
      </c>
      <c r="F34" s="308" t="s">
        <v>19</v>
      </c>
    </row>
    <row r="35" spans="1:6">
      <c r="A35" s="274">
        <v>3225</v>
      </c>
      <c r="B35" s="283" t="s">
        <v>21</v>
      </c>
      <c r="C35" s="283">
        <v>33</v>
      </c>
      <c r="D35" s="276">
        <v>2</v>
      </c>
      <c r="E35" s="261" t="s">
        <v>585</v>
      </c>
      <c r="F35" s="309" t="s">
        <v>186</v>
      </c>
    </row>
    <row r="36" spans="1:6">
      <c r="A36" s="274">
        <v>3226</v>
      </c>
      <c r="B36" s="275" t="s">
        <v>21</v>
      </c>
      <c r="C36" s="275">
        <v>34</v>
      </c>
      <c r="D36" s="276">
        <v>1</v>
      </c>
      <c r="E36" s="260" t="s">
        <v>586</v>
      </c>
      <c r="F36" s="308" t="s">
        <v>353</v>
      </c>
    </row>
    <row r="37" spans="1:6">
      <c r="A37" s="274">
        <v>3227</v>
      </c>
      <c r="B37" s="283" t="s">
        <v>21</v>
      </c>
      <c r="C37" s="283">
        <v>35</v>
      </c>
      <c r="D37" s="276">
        <v>2</v>
      </c>
      <c r="E37" s="261" t="s">
        <v>587</v>
      </c>
      <c r="F37" s="309" t="s">
        <v>40</v>
      </c>
    </row>
    <row r="38" spans="1:6">
      <c r="A38" s="274">
        <v>3228</v>
      </c>
      <c r="B38" s="275" t="s">
        <v>21</v>
      </c>
      <c r="C38" s="275">
        <v>36</v>
      </c>
      <c r="D38" s="276">
        <v>1</v>
      </c>
      <c r="E38" s="260" t="s">
        <v>588</v>
      </c>
      <c r="F38" s="308" t="s">
        <v>683</v>
      </c>
    </row>
    <row r="39" spans="1:6">
      <c r="A39" s="274">
        <v>3229</v>
      </c>
      <c r="B39" s="283" t="s">
        <v>21</v>
      </c>
      <c r="C39" s="283">
        <v>37</v>
      </c>
      <c r="D39" s="276">
        <v>2</v>
      </c>
      <c r="E39" s="261" t="s">
        <v>589</v>
      </c>
      <c r="F39" s="309" t="s">
        <v>679</v>
      </c>
    </row>
    <row r="40" spans="1:6">
      <c r="A40" s="274">
        <v>3230</v>
      </c>
      <c r="B40" s="275" t="s">
        <v>21</v>
      </c>
      <c r="C40" s="275">
        <v>38</v>
      </c>
      <c r="D40" s="276">
        <v>3</v>
      </c>
      <c r="E40" s="260" t="s">
        <v>417</v>
      </c>
      <c r="F40" s="308" t="s">
        <v>682</v>
      </c>
    </row>
    <row r="41" spans="1:6">
      <c r="A41" s="274">
        <v>3231</v>
      </c>
      <c r="B41" s="275" t="s">
        <v>21</v>
      </c>
      <c r="C41" s="275">
        <v>39</v>
      </c>
      <c r="D41" s="276">
        <v>3</v>
      </c>
      <c r="E41" s="260" t="s">
        <v>590</v>
      </c>
      <c r="F41" s="308" t="s">
        <v>686</v>
      </c>
    </row>
    <row r="42" spans="1:6">
      <c r="A42" s="274">
        <v>3232</v>
      </c>
      <c r="B42" s="275" t="s">
        <v>21</v>
      </c>
      <c r="C42" s="275">
        <v>40</v>
      </c>
      <c r="D42" s="276">
        <v>1</v>
      </c>
      <c r="E42" s="260" t="s">
        <v>591</v>
      </c>
      <c r="F42" s="308" t="s">
        <v>687</v>
      </c>
    </row>
    <row r="43" spans="1:6" ht="14.4" thickBot="1">
      <c r="A43" s="288">
        <v>3233</v>
      </c>
      <c r="B43" s="289" t="s">
        <v>21</v>
      </c>
      <c r="C43" s="289">
        <v>41</v>
      </c>
      <c r="D43" s="290">
        <v>3</v>
      </c>
      <c r="E43" s="262" t="s">
        <v>592</v>
      </c>
      <c r="F43" s="311" t="s">
        <v>593</v>
      </c>
    </row>
    <row r="44" spans="1:6" ht="14.4" thickTop="1">
      <c r="A44" s="264">
        <v>3234</v>
      </c>
      <c r="B44" s="265" t="s">
        <v>22</v>
      </c>
      <c r="C44" s="265">
        <v>1</v>
      </c>
      <c r="D44" s="266">
        <v>4</v>
      </c>
      <c r="E44" s="259" t="s">
        <v>420</v>
      </c>
      <c r="F44" s="307" t="s">
        <v>594</v>
      </c>
    </row>
    <row r="45" spans="1:6">
      <c r="A45" s="274">
        <v>3235</v>
      </c>
      <c r="B45" s="283" t="s">
        <v>22</v>
      </c>
      <c r="C45" s="283">
        <v>2</v>
      </c>
      <c r="D45" s="276">
        <v>5</v>
      </c>
      <c r="E45" s="261" t="s">
        <v>451</v>
      </c>
      <c r="F45" s="309" t="s">
        <v>127</v>
      </c>
    </row>
    <row r="46" spans="1:6">
      <c r="A46" s="274">
        <v>3236</v>
      </c>
      <c r="B46" s="283" t="s">
        <v>22</v>
      </c>
      <c r="C46" s="283">
        <v>3</v>
      </c>
      <c r="D46" s="276">
        <v>4</v>
      </c>
      <c r="E46" s="261" t="s">
        <v>595</v>
      </c>
      <c r="F46" s="308" t="s">
        <v>19</v>
      </c>
    </row>
    <row r="47" spans="1:6">
      <c r="A47" s="274">
        <v>3237</v>
      </c>
      <c r="B47" s="283" t="s">
        <v>22</v>
      </c>
      <c r="C47" s="283">
        <v>4</v>
      </c>
      <c r="D47" s="276">
        <v>5</v>
      </c>
      <c r="E47" s="261" t="s">
        <v>596</v>
      </c>
      <c r="F47" s="309" t="s">
        <v>688</v>
      </c>
    </row>
    <row r="48" spans="1:6">
      <c r="A48" s="274">
        <v>3238</v>
      </c>
      <c r="B48" s="283" t="s">
        <v>22</v>
      </c>
      <c r="C48" s="283">
        <v>5</v>
      </c>
      <c r="D48" s="276">
        <v>5</v>
      </c>
      <c r="E48" s="287" t="s">
        <v>44</v>
      </c>
      <c r="F48" s="310" t="s">
        <v>0</v>
      </c>
    </row>
    <row r="49" spans="1:6">
      <c r="A49" s="274">
        <v>3239</v>
      </c>
      <c r="B49" s="283" t="s">
        <v>22</v>
      </c>
      <c r="C49" s="283">
        <v>6</v>
      </c>
      <c r="D49" s="276">
        <v>5</v>
      </c>
      <c r="E49" s="261" t="s">
        <v>45</v>
      </c>
      <c r="F49" s="309" t="s">
        <v>385</v>
      </c>
    </row>
    <row r="50" spans="1:6">
      <c r="A50" s="274">
        <v>3240</v>
      </c>
      <c r="B50" s="283" t="s">
        <v>22</v>
      </c>
      <c r="C50" s="283">
        <v>7</v>
      </c>
      <c r="D50" s="276">
        <v>6</v>
      </c>
      <c r="E50" s="261" t="s">
        <v>155</v>
      </c>
      <c r="F50" s="309" t="s">
        <v>19</v>
      </c>
    </row>
    <row r="51" spans="1:6">
      <c r="A51" s="274">
        <v>3241</v>
      </c>
      <c r="B51" s="283" t="s">
        <v>22</v>
      </c>
      <c r="C51" s="283">
        <v>8</v>
      </c>
      <c r="D51" s="276">
        <v>4</v>
      </c>
      <c r="E51" s="261" t="s">
        <v>426</v>
      </c>
      <c r="F51" s="309" t="s">
        <v>11</v>
      </c>
    </row>
    <row r="52" spans="1:6">
      <c r="A52" s="274">
        <v>3242</v>
      </c>
      <c r="B52" s="283" t="s">
        <v>22</v>
      </c>
      <c r="C52" s="283">
        <v>9</v>
      </c>
      <c r="D52" s="276">
        <v>6</v>
      </c>
      <c r="E52" s="261" t="s">
        <v>597</v>
      </c>
      <c r="F52" s="309" t="s">
        <v>11</v>
      </c>
    </row>
    <row r="53" spans="1:6">
      <c r="A53" s="274">
        <v>3243</v>
      </c>
      <c r="B53" s="283" t="s">
        <v>22</v>
      </c>
      <c r="C53" s="283">
        <v>10</v>
      </c>
      <c r="D53" s="276">
        <v>6</v>
      </c>
      <c r="E53" s="261" t="s">
        <v>598</v>
      </c>
      <c r="F53" s="309" t="s">
        <v>599</v>
      </c>
    </row>
    <row r="54" spans="1:6">
      <c r="A54" s="274">
        <v>3244</v>
      </c>
      <c r="B54" s="283" t="s">
        <v>22</v>
      </c>
      <c r="C54" s="283">
        <v>11</v>
      </c>
      <c r="D54" s="276">
        <v>6</v>
      </c>
      <c r="E54" s="261" t="s">
        <v>431</v>
      </c>
      <c r="F54" s="309" t="s">
        <v>680</v>
      </c>
    </row>
    <row r="55" spans="1:6">
      <c r="A55" s="274">
        <v>3246</v>
      </c>
      <c r="B55" s="283" t="s">
        <v>22</v>
      </c>
      <c r="C55" s="283">
        <v>12</v>
      </c>
      <c r="D55" s="276">
        <v>5</v>
      </c>
      <c r="E55" s="261" t="s">
        <v>600</v>
      </c>
      <c r="F55" s="309" t="s">
        <v>66</v>
      </c>
    </row>
    <row r="56" spans="1:6">
      <c r="A56" s="274">
        <v>3247</v>
      </c>
      <c r="B56" s="283" t="s">
        <v>22</v>
      </c>
      <c r="C56" s="283">
        <v>13</v>
      </c>
      <c r="D56" s="276">
        <v>6</v>
      </c>
      <c r="E56" s="261" t="s">
        <v>601</v>
      </c>
      <c r="F56" s="309" t="s">
        <v>68</v>
      </c>
    </row>
    <row r="57" spans="1:6">
      <c r="A57" s="274">
        <v>3248</v>
      </c>
      <c r="B57" s="283" t="s">
        <v>22</v>
      </c>
      <c r="C57" s="283">
        <v>14</v>
      </c>
      <c r="D57" s="276">
        <v>6</v>
      </c>
      <c r="E57" s="261" t="s">
        <v>602</v>
      </c>
      <c r="F57" s="309" t="s">
        <v>0</v>
      </c>
    </row>
    <row r="58" spans="1:6">
      <c r="A58" s="274">
        <v>3250</v>
      </c>
      <c r="B58" s="283" t="s">
        <v>22</v>
      </c>
      <c r="C58" s="283">
        <v>15</v>
      </c>
      <c r="D58" s="276">
        <v>5</v>
      </c>
      <c r="E58" s="261" t="s">
        <v>603</v>
      </c>
      <c r="F58" s="309" t="s">
        <v>14</v>
      </c>
    </row>
    <row r="59" spans="1:6">
      <c r="A59" s="274">
        <v>3251</v>
      </c>
      <c r="B59" s="283" t="s">
        <v>22</v>
      </c>
      <c r="C59" s="283">
        <v>16</v>
      </c>
      <c r="D59" s="276">
        <v>5</v>
      </c>
      <c r="E59" s="261" t="s">
        <v>604</v>
      </c>
      <c r="F59" s="309" t="s">
        <v>177</v>
      </c>
    </row>
    <row r="60" spans="1:6">
      <c r="A60" s="274">
        <v>3252</v>
      </c>
      <c r="B60" s="283" t="s">
        <v>22</v>
      </c>
      <c r="C60" s="283">
        <v>17</v>
      </c>
      <c r="D60" s="276">
        <v>5</v>
      </c>
      <c r="E60" s="261" t="s">
        <v>605</v>
      </c>
      <c r="F60" s="309" t="s">
        <v>80</v>
      </c>
    </row>
    <row r="61" spans="1:6">
      <c r="A61" s="274">
        <v>3253</v>
      </c>
      <c r="B61" s="283" t="s">
        <v>22</v>
      </c>
      <c r="C61" s="283">
        <v>18</v>
      </c>
      <c r="D61" s="276">
        <v>4</v>
      </c>
      <c r="E61" s="261" t="s">
        <v>605</v>
      </c>
      <c r="F61" s="309" t="s">
        <v>48</v>
      </c>
    </row>
    <row r="62" spans="1:6">
      <c r="A62" s="274">
        <v>3254</v>
      </c>
      <c r="B62" s="283" t="s">
        <v>22</v>
      </c>
      <c r="C62" s="283">
        <v>19</v>
      </c>
      <c r="D62" s="276">
        <v>4</v>
      </c>
      <c r="E62" s="261" t="s">
        <v>605</v>
      </c>
      <c r="F62" s="309" t="s">
        <v>19</v>
      </c>
    </row>
    <row r="63" spans="1:6">
      <c r="A63" s="274">
        <v>3255</v>
      </c>
      <c r="B63" s="283" t="s">
        <v>22</v>
      </c>
      <c r="C63" s="283">
        <v>20</v>
      </c>
      <c r="D63" s="276">
        <v>5</v>
      </c>
      <c r="E63" s="261" t="s">
        <v>164</v>
      </c>
      <c r="F63" s="309" t="s">
        <v>127</v>
      </c>
    </row>
    <row r="64" spans="1:6">
      <c r="A64" s="274">
        <v>3256</v>
      </c>
      <c r="B64" s="283" t="s">
        <v>22</v>
      </c>
      <c r="C64" s="283">
        <v>21</v>
      </c>
      <c r="D64" s="276">
        <v>4</v>
      </c>
      <c r="E64" s="261" t="s">
        <v>443</v>
      </c>
      <c r="F64" s="309" t="s">
        <v>188</v>
      </c>
    </row>
    <row r="65" spans="1:6">
      <c r="A65" s="274">
        <v>3257</v>
      </c>
      <c r="B65" s="283" t="s">
        <v>22</v>
      </c>
      <c r="C65" s="283">
        <v>22</v>
      </c>
      <c r="D65" s="276">
        <v>6</v>
      </c>
      <c r="E65" s="261" t="s">
        <v>445</v>
      </c>
      <c r="F65" s="309" t="s">
        <v>185</v>
      </c>
    </row>
    <row r="66" spans="1:6">
      <c r="A66" s="274">
        <v>3259</v>
      </c>
      <c r="B66" s="283" t="s">
        <v>22</v>
      </c>
      <c r="C66" s="283">
        <v>23</v>
      </c>
      <c r="D66" s="276">
        <v>5</v>
      </c>
      <c r="E66" s="261" t="s">
        <v>1</v>
      </c>
      <c r="F66" s="309" t="s">
        <v>385</v>
      </c>
    </row>
    <row r="67" spans="1:6">
      <c r="A67" s="274">
        <v>3260</v>
      </c>
      <c r="B67" s="283" t="s">
        <v>22</v>
      </c>
      <c r="C67" s="283">
        <v>24</v>
      </c>
      <c r="D67" s="276">
        <v>6</v>
      </c>
      <c r="E67" s="261" t="s">
        <v>60</v>
      </c>
      <c r="F67" s="309" t="s">
        <v>47</v>
      </c>
    </row>
    <row r="68" spans="1:6">
      <c r="A68" s="274">
        <v>3258</v>
      </c>
      <c r="B68" s="283" t="s">
        <v>22</v>
      </c>
      <c r="C68" s="283">
        <v>25</v>
      </c>
      <c r="D68" s="276">
        <v>6</v>
      </c>
      <c r="E68" s="261" t="s">
        <v>585</v>
      </c>
      <c r="F68" s="309" t="s">
        <v>82</v>
      </c>
    </row>
    <row r="69" spans="1:6">
      <c r="A69" s="274">
        <v>3261</v>
      </c>
      <c r="B69" s="283" t="s">
        <v>22</v>
      </c>
      <c r="C69" s="283">
        <v>26</v>
      </c>
      <c r="D69" s="276">
        <v>5</v>
      </c>
      <c r="E69" s="261" t="s">
        <v>585</v>
      </c>
      <c r="F69" s="309" t="s">
        <v>185</v>
      </c>
    </row>
    <row r="70" spans="1:6">
      <c r="A70" s="274">
        <v>3262</v>
      </c>
      <c r="B70" s="283" t="s">
        <v>22</v>
      </c>
      <c r="C70" s="283">
        <v>27</v>
      </c>
      <c r="D70" s="276">
        <v>5</v>
      </c>
      <c r="E70" s="261" t="s">
        <v>606</v>
      </c>
      <c r="F70" s="309" t="s">
        <v>128</v>
      </c>
    </row>
    <row r="71" spans="1:6">
      <c r="A71" s="274">
        <v>3263</v>
      </c>
      <c r="B71" s="283" t="s">
        <v>22</v>
      </c>
      <c r="C71" s="283">
        <v>28</v>
      </c>
      <c r="D71" s="276">
        <v>5</v>
      </c>
      <c r="E71" s="261" t="s">
        <v>607</v>
      </c>
      <c r="F71" s="309" t="s">
        <v>48</v>
      </c>
    </row>
    <row r="72" spans="1:6">
      <c r="A72" s="274">
        <v>3264</v>
      </c>
      <c r="B72" s="283" t="s">
        <v>22</v>
      </c>
      <c r="C72" s="283">
        <v>29</v>
      </c>
      <c r="D72" s="276">
        <v>4</v>
      </c>
      <c r="E72" s="261" t="s">
        <v>110</v>
      </c>
      <c r="F72" s="309" t="s">
        <v>185</v>
      </c>
    </row>
    <row r="73" spans="1:6">
      <c r="A73" s="274">
        <v>3265</v>
      </c>
      <c r="B73" s="283" t="s">
        <v>22</v>
      </c>
      <c r="C73" s="283">
        <v>30</v>
      </c>
      <c r="D73" s="276">
        <v>6</v>
      </c>
      <c r="E73" s="261" t="s">
        <v>608</v>
      </c>
      <c r="F73" s="309" t="s">
        <v>47</v>
      </c>
    </row>
    <row r="74" spans="1:6">
      <c r="A74" s="274">
        <v>3266</v>
      </c>
      <c r="B74" s="283" t="s">
        <v>22</v>
      </c>
      <c r="C74" s="283">
        <v>31</v>
      </c>
      <c r="D74" s="276">
        <v>6</v>
      </c>
      <c r="E74" s="261" t="s">
        <v>609</v>
      </c>
      <c r="F74" s="309" t="s">
        <v>379</v>
      </c>
    </row>
    <row r="75" spans="1:6">
      <c r="A75" s="274">
        <v>3267</v>
      </c>
      <c r="B75" s="283" t="s">
        <v>22</v>
      </c>
      <c r="C75" s="283">
        <v>32</v>
      </c>
      <c r="D75" s="276">
        <v>4</v>
      </c>
      <c r="E75" s="261" t="s">
        <v>610</v>
      </c>
      <c r="F75" s="309" t="s">
        <v>79</v>
      </c>
    </row>
    <row r="76" spans="1:6" ht="14.4" thickBot="1">
      <c r="A76" s="288">
        <v>3353</v>
      </c>
      <c r="B76" s="297" t="s">
        <v>22</v>
      </c>
      <c r="C76" s="297">
        <v>33</v>
      </c>
      <c r="D76" s="290">
        <v>4</v>
      </c>
      <c r="E76" s="324" t="s">
        <v>611</v>
      </c>
      <c r="F76" s="325" t="s">
        <v>2</v>
      </c>
    </row>
    <row r="77" spans="1:6" ht="14.4" thickTop="1">
      <c r="A77" s="264">
        <v>3268</v>
      </c>
      <c r="B77" s="265" t="s">
        <v>23</v>
      </c>
      <c r="C77" s="265">
        <v>1</v>
      </c>
      <c r="D77" s="266">
        <v>7</v>
      </c>
      <c r="E77" s="259" t="s">
        <v>612</v>
      </c>
      <c r="F77" s="307" t="s">
        <v>80</v>
      </c>
    </row>
    <row r="78" spans="1:6">
      <c r="A78" s="274">
        <v>3269</v>
      </c>
      <c r="B78" s="283" t="s">
        <v>23</v>
      </c>
      <c r="C78" s="283">
        <v>2</v>
      </c>
      <c r="D78" s="276">
        <v>7</v>
      </c>
      <c r="E78" s="261" t="s">
        <v>613</v>
      </c>
      <c r="F78" s="309" t="s">
        <v>14</v>
      </c>
    </row>
    <row r="79" spans="1:6">
      <c r="A79" s="274">
        <v>3270</v>
      </c>
      <c r="B79" s="283" t="s">
        <v>23</v>
      </c>
      <c r="C79" s="283">
        <v>3</v>
      </c>
      <c r="D79" s="276">
        <v>7</v>
      </c>
      <c r="E79" s="261" t="s">
        <v>614</v>
      </c>
      <c r="F79" s="309" t="s">
        <v>615</v>
      </c>
    </row>
    <row r="80" spans="1:6">
      <c r="A80" s="274">
        <v>3271</v>
      </c>
      <c r="B80" s="283" t="s">
        <v>23</v>
      </c>
      <c r="C80" s="283">
        <v>4</v>
      </c>
      <c r="D80" s="276">
        <v>7</v>
      </c>
      <c r="E80" s="261" t="s">
        <v>616</v>
      </c>
      <c r="F80" s="309" t="s">
        <v>689</v>
      </c>
    </row>
    <row r="81" spans="1:6">
      <c r="A81" s="274">
        <v>3272</v>
      </c>
      <c r="B81" s="283" t="s">
        <v>23</v>
      </c>
      <c r="C81" s="283">
        <v>5</v>
      </c>
      <c r="D81" s="276">
        <v>7</v>
      </c>
      <c r="E81" s="261" t="s">
        <v>617</v>
      </c>
      <c r="F81" s="309" t="s">
        <v>358</v>
      </c>
    </row>
    <row r="82" spans="1:6">
      <c r="A82" s="274">
        <v>3273</v>
      </c>
      <c r="B82" s="283" t="s">
        <v>23</v>
      </c>
      <c r="C82" s="283">
        <v>6</v>
      </c>
      <c r="D82" s="276">
        <v>8</v>
      </c>
      <c r="E82" s="261" t="s">
        <v>618</v>
      </c>
      <c r="F82" s="309" t="s">
        <v>690</v>
      </c>
    </row>
    <row r="83" spans="1:6">
      <c r="A83" s="274">
        <v>3274</v>
      </c>
      <c r="B83" s="283" t="s">
        <v>23</v>
      </c>
      <c r="C83" s="283">
        <v>7</v>
      </c>
      <c r="D83" s="276">
        <v>13</v>
      </c>
      <c r="E83" s="261" t="s">
        <v>619</v>
      </c>
      <c r="F83" s="309" t="s">
        <v>567</v>
      </c>
    </row>
    <row r="84" spans="1:6">
      <c r="A84" s="274">
        <v>3275</v>
      </c>
      <c r="B84" s="283" t="s">
        <v>23</v>
      </c>
      <c r="C84" s="283">
        <v>8</v>
      </c>
      <c r="D84" s="276">
        <v>7</v>
      </c>
      <c r="E84" s="261" t="s">
        <v>620</v>
      </c>
      <c r="F84" s="309" t="s">
        <v>47</v>
      </c>
    </row>
    <row r="85" spans="1:6">
      <c r="A85" s="274">
        <v>3276</v>
      </c>
      <c r="B85" s="283" t="s">
        <v>23</v>
      </c>
      <c r="C85" s="283">
        <v>9</v>
      </c>
      <c r="D85" s="276">
        <v>7</v>
      </c>
      <c r="E85" s="261" t="s">
        <v>150</v>
      </c>
      <c r="F85" s="309" t="s">
        <v>79</v>
      </c>
    </row>
    <row r="86" spans="1:6">
      <c r="A86" s="274">
        <v>3277</v>
      </c>
      <c r="B86" s="283" t="s">
        <v>23</v>
      </c>
      <c r="C86" s="283">
        <v>10</v>
      </c>
      <c r="D86" s="276">
        <v>13</v>
      </c>
      <c r="E86" s="261" t="s">
        <v>621</v>
      </c>
      <c r="F86" s="309" t="s">
        <v>100</v>
      </c>
    </row>
    <row r="87" spans="1:6">
      <c r="A87" s="274">
        <v>3278</v>
      </c>
      <c r="B87" s="283" t="s">
        <v>23</v>
      </c>
      <c r="C87" s="283">
        <v>11</v>
      </c>
      <c r="D87" s="276">
        <v>8</v>
      </c>
      <c r="E87" s="261" t="s">
        <v>426</v>
      </c>
      <c r="F87" s="309" t="s">
        <v>68</v>
      </c>
    </row>
    <row r="88" spans="1:6">
      <c r="A88" s="274">
        <v>3279</v>
      </c>
      <c r="B88" s="283" t="s">
        <v>23</v>
      </c>
      <c r="C88" s="283">
        <v>12</v>
      </c>
      <c r="D88" s="276">
        <v>13</v>
      </c>
      <c r="E88" s="261" t="s">
        <v>622</v>
      </c>
      <c r="F88" s="309" t="s">
        <v>623</v>
      </c>
    </row>
    <row r="89" spans="1:6">
      <c r="A89" s="274">
        <v>3280</v>
      </c>
      <c r="B89" s="283" t="s">
        <v>23</v>
      </c>
      <c r="C89" s="283">
        <v>13</v>
      </c>
      <c r="D89" s="276">
        <v>7</v>
      </c>
      <c r="E89" s="261" t="s">
        <v>624</v>
      </c>
      <c r="F89" s="309" t="s">
        <v>385</v>
      </c>
    </row>
    <row r="90" spans="1:6">
      <c r="A90" s="274">
        <v>3281</v>
      </c>
      <c r="B90" s="283" t="s">
        <v>23</v>
      </c>
      <c r="C90" s="283">
        <v>14</v>
      </c>
      <c r="D90" s="276">
        <v>13</v>
      </c>
      <c r="E90" s="261" t="s">
        <v>625</v>
      </c>
      <c r="F90" s="309" t="s">
        <v>80</v>
      </c>
    </row>
    <row r="91" spans="1:6">
      <c r="A91" s="274">
        <v>3245</v>
      </c>
      <c r="B91" s="283" t="s">
        <v>23</v>
      </c>
      <c r="C91" s="283">
        <v>15</v>
      </c>
      <c r="D91" s="276">
        <v>13</v>
      </c>
      <c r="E91" s="261" t="s">
        <v>626</v>
      </c>
      <c r="F91" s="309" t="s">
        <v>674</v>
      </c>
    </row>
    <row r="92" spans="1:6">
      <c r="A92" s="274">
        <v>3282</v>
      </c>
      <c r="B92" s="283" t="s">
        <v>23</v>
      </c>
      <c r="C92" s="283">
        <v>16</v>
      </c>
      <c r="D92" s="276">
        <v>7</v>
      </c>
      <c r="E92" s="261" t="s">
        <v>627</v>
      </c>
      <c r="F92" s="309" t="s">
        <v>691</v>
      </c>
    </row>
    <row r="93" spans="1:6">
      <c r="A93" s="274">
        <v>3283</v>
      </c>
      <c r="B93" s="283" t="s">
        <v>23</v>
      </c>
      <c r="C93" s="283">
        <v>17</v>
      </c>
      <c r="D93" s="276">
        <v>8</v>
      </c>
      <c r="E93" s="261" t="s">
        <v>628</v>
      </c>
      <c r="F93" s="309" t="s">
        <v>2</v>
      </c>
    </row>
    <row r="94" spans="1:6">
      <c r="A94" s="274">
        <v>3284</v>
      </c>
      <c r="B94" s="283" t="s">
        <v>23</v>
      </c>
      <c r="C94" s="283">
        <v>18</v>
      </c>
      <c r="D94" s="276">
        <v>13</v>
      </c>
      <c r="E94" s="261" t="s">
        <v>629</v>
      </c>
      <c r="F94" s="309" t="s">
        <v>82</v>
      </c>
    </row>
    <row r="95" spans="1:6">
      <c r="A95" s="274">
        <v>3285</v>
      </c>
      <c r="B95" s="283" t="s">
        <v>23</v>
      </c>
      <c r="C95" s="283">
        <v>19</v>
      </c>
      <c r="D95" s="276">
        <v>7</v>
      </c>
      <c r="E95" s="261" t="s">
        <v>630</v>
      </c>
      <c r="F95" s="309" t="s">
        <v>174</v>
      </c>
    </row>
    <row r="96" spans="1:6">
      <c r="A96" s="274">
        <v>3286</v>
      </c>
      <c r="B96" s="283" t="s">
        <v>23</v>
      </c>
      <c r="C96" s="283">
        <v>20</v>
      </c>
      <c r="D96" s="276">
        <v>7</v>
      </c>
      <c r="E96" s="261" t="s">
        <v>631</v>
      </c>
      <c r="F96" s="309" t="s">
        <v>400</v>
      </c>
    </row>
    <row r="97" spans="1:6">
      <c r="A97" s="274">
        <v>3287</v>
      </c>
      <c r="B97" s="283" t="s">
        <v>23</v>
      </c>
      <c r="C97" s="283">
        <v>21</v>
      </c>
      <c r="D97" s="276">
        <v>8</v>
      </c>
      <c r="E97" s="261" t="s">
        <v>632</v>
      </c>
      <c r="F97" s="309" t="s">
        <v>692</v>
      </c>
    </row>
    <row r="98" spans="1:6">
      <c r="A98" s="274">
        <v>3288</v>
      </c>
      <c r="B98" s="283" t="s">
        <v>23</v>
      </c>
      <c r="C98" s="283">
        <v>22</v>
      </c>
      <c r="D98" s="276">
        <v>7</v>
      </c>
      <c r="E98" s="261" t="s">
        <v>633</v>
      </c>
      <c r="F98" s="309" t="s">
        <v>351</v>
      </c>
    </row>
    <row r="99" spans="1:6">
      <c r="A99" s="274">
        <v>3292</v>
      </c>
      <c r="B99" s="283" t="s">
        <v>23</v>
      </c>
      <c r="C99" s="283">
        <v>23</v>
      </c>
      <c r="D99" s="276">
        <v>8</v>
      </c>
      <c r="E99" s="261" t="s">
        <v>634</v>
      </c>
      <c r="F99" s="309" t="s">
        <v>0</v>
      </c>
    </row>
    <row r="100" spans="1:6">
      <c r="A100" s="274">
        <v>3289</v>
      </c>
      <c r="B100" s="283" t="s">
        <v>23</v>
      </c>
      <c r="C100" s="283">
        <v>24</v>
      </c>
      <c r="D100" s="276">
        <v>7</v>
      </c>
      <c r="E100" s="261" t="s">
        <v>439</v>
      </c>
      <c r="F100" s="309" t="s">
        <v>68</v>
      </c>
    </row>
    <row r="101" spans="1:6">
      <c r="A101" s="274">
        <v>3290</v>
      </c>
      <c r="B101" s="283" t="s">
        <v>23</v>
      </c>
      <c r="C101" s="283">
        <v>25</v>
      </c>
      <c r="D101" s="276">
        <v>13</v>
      </c>
      <c r="E101" s="261" t="s">
        <v>635</v>
      </c>
      <c r="F101" s="309" t="s">
        <v>16</v>
      </c>
    </row>
    <row r="102" spans="1:6">
      <c r="A102" s="274">
        <v>3291</v>
      </c>
      <c r="B102" s="283" t="s">
        <v>23</v>
      </c>
      <c r="C102" s="283">
        <v>26</v>
      </c>
      <c r="D102" s="276">
        <v>8</v>
      </c>
      <c r="E102" s="261" t="s">
        <v>636</v>
      </c>
      <c r="F102" s="309" t="s">
        <v>186</v>
      </c>
    </row>
    <row r="103" spans="1:6">
      <c r="A103" s="274">
        <v>3293</v>
      </c>
      <c r="B103" s="283" t="s">
        <v>23</v>
      </c>
      <c r="C103" s="283">
        <v>27</v>
      </c>
      <c r="D103" s="276">
        <v>8</v>
      </c>
      <c r="E103" s="261" t="s">
        <v>583</v>
      </c>
      <c r="F103" s="309" t="s">
        <v>693</v>
      </c>
    </row>
    <row r="104" spans="1:6">
      <c r="A104" s="274">
        <v>3295</v>
      </c>
      <c r="B104" s="283" t="s">
        <v>23</v>
      </c>
      <c r="C104" s="283">
        <v>29</v>
      </c>
      <c r="D104" s="276">
        <v>13</v>
      </c>
      <c r="E104" s="261" t="s">
        <v>60</v>
      </c>
      <c r="F104" s="309" t="s">
        <v>148</v>
      </c>
    </row>
    <row r="105" spans="1:6">
      <c r="A105" s="274">
        <v>3296</v>
      </c>
      <c r="B105" s="283" t="s">
        <v>23</v>
      </c>
      <c r="C105" s="283">
        <v>30</v>
      </c>
      <c r="D105" s="276">
        <v>13</v>
      </c>
      <c r="E105" s="261" t="s">
        <v>637</v>
      </c>
      <c r="F105" s="309" t="s">
        <v>0</v>
      </c>
    </row>
    <row r="106" spans="1:6">
      <c r="A106" s="274">
        <v>3298</v>
      </c>
      <c r="B106" s="283" t="s">
        <v>23</v>
      </c>
      <c r="C106" s="283">
        <v>31</v>
      </c>
      <c r="D106" s="276">
        <v>8</v>
      </c>
      <c r="E106" s="261" t="s">
        <v>638</v>
      </c>
      <c r="F106" s="309" t="s">
        <v>639</v>
      </c>
    </row>
    <row r="107" spans="1:6" ht="14.4" thickBot="1">
      <c r="A107" s="288">
        <v>3297</v>
      </c>
      <c r="B107" s="297" t="s">
        <v>23</v>
      </c>
      <c r="C107" s="297">
        <v>32</v>
      </c>
      <c r="D107" s="290">
        <v>8</v>
      </c>
      <c r="E107" s="263" t="s">
        <v>640</v>
      </c>
      <c r="F107" s="312" t="s">
        <v>68</v>
      </c>
    </row>
    <row r="108" spans="1:6" ht="14.4" thickTop="1">
      <c r="A108" s="264">
        <v>3299</v>
      </c>
      <c r="B108" s="265" t="s">
        <v>24</v>
      </c>
      <c r="C108" s="265">
        <v>1</v>
      </c>
      <c r="D108" s="266">
        <v>10</v>
      </c>
      <c r="E108" s="259" t="s">
        <v>112</v>
      </c>
      <c r="F108" s="307" t="s">
        <v>15</v>
      </c>
    </row>
    <row r="109" spans="1:6">
      <c r="A109" s="274">
        <v>3300</v>
      </c>
      <c r="B109" s="283" t="s">
        <v>24</v>
      </c>
      <c r="C109" s="283">
        <v>2</v>
      </c>
      <c r="D109" s="276">
        <v>9</v>
      </c>
      <c r="E109" s="261" t="s">
        <v>641</v>
      </c>
      <c r="F109" s="309" t="s">
        <v>694</v>
      </c>
    </row>
    <row r="110" spans="1:6">
      <c r="A110" s="274">
        <v>3301</v>
      </c>
      <c r="B110" s="283" t="s">
        <v>24</v>
      </c>
      <c r="C110" s="283">
        <v>3</v>
      </c>
      <c r="D110" s="276">
        <v>9</v>
      </c>
      <c r="E110" s="287" t="s">
        <v>642</v>
      </c>
      <c r="F110" s="310" t="s">
        <v>128</v>
      </c>
    </row>
    <row r="111" spans="1:6">
      <c r="A111" s="274">
        <v>3302</v>
      </c>
      <c r="B111" s="283" t="s">
        <v>24</v>
      </c>
      <c r="C111" s="283">
        <v>4</v>
      </c>
      <c r="D111" s="276">
        <v>10</v>
      </c>
      <c r="E111" s="261" t="s">
        <v>643</v>
      </c>
      <c r="F111" s="309" t="s">
        <v>14</v>
      </c>
    </row>
    <row r="112" spans="1:6">
      <c r="A112" s="274">
        <v>3324</v>
      </c>
      <c r="B112" s="283" t="s">
        <v>24</v>
      </c>
      <c r="C112" s="283">
        <v>5</v>
      </c>
      <c r="D112" s="276">
        <v>10</v>
      </c>
      <c r="E112" s="261" t="s">
        <v>644</v>
      </c>
      <c r="F112" s="309" t="s">
        <v>19</v>
      </c>
    </row>
    <row r="113" spans="1:6">
      <c r="A113" s="274">
        <v>3303</v>
      </c>
      <c r="B113" s="283" t="s">
        <v>24</v>
      </c>
      <c r="C113" s="283">
        <v>6</v>
      </c>
      <c r="D113" s="276">
        <v>10</v>
      </c>
      <c r="E113" s="261" t="s">
        <v>645</v>
      </c>
      <c r="F113" s="309" t="s">
        <v>12</v>
      </c>
    </row>
    <row r="114" spans="1:6">
      <c r="A114" s="274">
        <v>3304</v>
      </c>
      <c r="B114" s="283" t="s">
        <v>24</v>
      </c>
      <c r="C114" s="283">
        <v>7</v>
      </c>
      <c r="D114" s="276">
        <v>10</v>
      </c>
      <c r="E114" s="261" t="s">
        <v>426</v>
      </c>
      <c r="F114" s="309" t="s">
        <v>15</v>
      </c>
    </row>
    <row r="115" spans="1:6">
      <c r="A115" s="274">
        <v>3305</v>
      </c>
      <c r="B115" s="283" t="s">
        <v>24</v>
      </c>
      <c r="C115" s="283">
        <v>8</v>
      </c>
      <c r="D115" s="276">
        <v>9</v>
      </c>
      <c r="E115" s="261" t="s">
        <v>646</v>
      </c>
      <c r="F115" s="309" t="s">
        <v>685</v>
      </c>
    </row>
    <row r="116" spans="1:6">
      <c r="A116" s="274">
        <v>3306</v>
      </c>
      <c r="B116" s="283" t="s">
        <v>24</v>
      </c>
      <c r="C116" s="283">
        <v>9</v>
      </c>
      <c r="D116" s="276">
        <v>10</v>
      </c>
      <c r="E116" s="261" t="s">
        <v>622</v>
      </c>
      <c r="F116" s="309" t="s">
        <v>385</v>
      </c>
    </row>
    <row r="117" spans="1:6">
      <c r="A117" s="274">
        <v>3307</v>
      </c>
      <c r="B117" s="283" t="s">
        <v>24</v>
      </c>
      <c r="C117" s="283">
        <v>10</v>
      </c>
      <c r="D117" s="276">
        <v>10</v>
      </c>
      <c r="E117" s="261" t="s">
        <v>647</v>
      </c>
      <c r="F117" s="309" t="s">
        <v>188</v>
      </c>
    </row>
    <row r="118" spans="1:6">
      <c r="A118" s="274">
        <v>3308</v>
      </c>
      <c r="B118" s="283" t="s">
        <v>24</v>
      </c>
      <c r="C118" s="283">
        <v>11</v>
      </c>
      <c r="D118" s="276">
        <v>9</v>
      </c>
      <c r="E118" s="261" t="s">
        <v>648</v>
      </c>
      <c r="F118" s="309" t="s">
        <v>12</v>
      </c>
    </row>
    <row r="119" spans="1:6">
      <c r="A119" s="274">
        <v>3309</v>
      </c>
      <c r="B119" s="283" t="s">
        <v>24</v>
      </c>
      <c r="C119" s="283">
        <v>12</v>
      </c>
      <c r="D119" s="276">
        <v>9</v>
      </c>
      <c r="E119" s="261" t="s">
        <v>649</v>
      </c>
      <c r="F119" s="309" t="s">
        <v>347</v>
      </c>
    </row>
    <row r="120" spans="1:6">
      <c r="A120" s="274">
        <v>3310</v>
      </c>
      <c r="B120" s="283" t="s">
        <v>24</v>
      </c>
      <c r="C120" s="283">
        <v>13</v>
      </c>
      <c r="D120" s="276">
        <v>9</v>
      </c>
      <c r="E120" s="287" t="s">
        <v>650</v>
      </c>
      <c r="F120" s="310" t="s">
        <v>9</v>
      </c>
    </row>
    <row r="121" spans="1:6">
      <c r="A121" s="274">
        <v>3311</v>
      </c>
      <c r="B121" s="283" t="s">
        <v>24</v>
      </c>
      <c r="C121" s="283">
        <v>14</v>
      </c>
      <c r="D121" s="276">
        <v>10</v>
      </c>
      <c r="E121" s="261" t="s">
        <v>650</v>
      </c>
      <c r="F121" s="309" t="s">
        <v>385</v>
      </c>
    </row>
    <row r="122" spans="1:6">
      <c r="A122" s="274">
        <v>3312</v>
      </c>
      <c r="B122" s="283" t="s">
        <v>24</v>
      </c>
      <c r="C122" s="283">
        <v>15</v>
      </c>
      <c r="D122" s="276">
        <v>9</v>
      </c>
      <c r="E122" s="261" t="s">
        <v>439</v>
      </c>
      <c r="F122" s="309" t="s">
        <v>66</v>
      </c>
    </row>
    <row r="123" spans="1:6">
      <c r="A123" s="274">
        <v>3313</v>
      </c>
      <c r="B123" s="283" t="s">
        <v>24</v>
      </c>
      <c r="C123" s="283">
        <v>16</v>
      </c>
      <c r="D123" s="276">
        <v>9</v>
      </c>
      <c r="E123" s="261" t="s">
        <v>348</v>
      </c>
      <c r="F123" s="309" t="s">
        <v>16</v>
      </c>
    </row>
    <row r="124" spans="1:6">
      <c r="A124" s="274">
        <v>3354</v>
      </c>
      <c r="B124" s="283" t="s">
        <v>24</v>
      </c>
      <c r="C124" s="283">
        <v>24</v>
      </c>
      <c r="D124" s="276">
        <v>9</v>
      </c>
      <c r="E124" s="261" t="s">
        <v>55</v>
      </c>
      <c r="F124" s="309" t="s">
        <v>599</v>
      </c>
    </row>
    <row r="125" spans="1:6">
      <c r="A125" s="274">
        <v>3314</v>
      </c>
      <c r="B125" s="283" t="s">
        <v>24</v>
      </c>
      <c r="C125" s="283">
        <v>17</v>
      </c>
      <c r="D125" s="276">
        <v>10</v>
      </c>
      <c r="E125" s="261" t="s">
        <v>167</v>
      </c>
      <c r="F125" s="309" t="s">
        <v>65</v>
      </c>
    </row>
    <row r="126" spans="1:6">
      <c r="A126" s="274">
        <v>3346</v>
      </c>
      <c r="B126" s="283" t="s">
        <v>24</v>
      </c>
      <c r="C126" s="283">
        <v>18</v>
      </c>
      <c r="D126" s="276">
        <v>9</v>
      </c>
      <c r="E126" s="287" t="s">
        <v>651</v>
      </c>
      <c r="F126" s="310" t="s">
        <v>551</v>
      </c>
    </row>
    <row r="127" spans="1:6">
      <c r="A127" s="274">
        <v>3315</v>
      </c>
      <c r="B127" s="283" t="s">
        <v>24</v>
      </c>
      <c r="C127" s="283">
        <v>19</v>
      </c>
      <c r="D127" s="276">
        <v>10</v>
      </c>
      <c r="E127" s="261" t="s">
        <v>652</v>
      </c>
      <c r="F127" s="309" t="s">
        <v>0</v>
      </c>
    </row>
    <row r="128" spans="1:6">
      <c r="A128" s="274">
        <v>3355</v>
      </c>
      <c r="B128" s="283" t="s">
        <v>24</v>
      </c>
      <c r="C128" s="283">
        <v>25</v>
      </c>
      <c r="D128" s="276">
        <v>10</v>
      </c>
      <c r="E128" s="261" t="s">
        <v>707</v>
      </c>
      <c r="F128" s="309" t="s">
        <v>695</v>
      </c>
    </row>
    <row r="129" spans="1:6">
      <c r="A129" s="274">
        <v>3316</v>
      </c>
      <c r="B129" s="283" t="s">
        <v>24</v>
      </c>
      <c r="C129" s="283">
        <v>20</v>
      </c>
      <c r="D129" s="276">
        <v>10</v>
      </c>
      <c r="E129" s="261" t="s">
        <v>357</v>
      </c>
      <c r="F129" s="309" t="s">
        <v>10</v>
      </c>
    </row>
    <row r="130" spans="1:6">
      <c r="A130" s="274">
        <v>3352</v>
      </c>
      <c r="B130" s="283" t="s">
        <v>24</v>
      </c>
      <c r="C130" s="283">
        <v>21</v>
      </c>
      <c r="D130" s="276">
        <v>10</v>
      </c>
      <c r="E130" s="287" t="s">
        <v>653</v>
      </c>
      <c r="F130" s="310" t="s">
        <v>12</v>
      </c>
    </row>
    <row r="131" spans="1:6">
      <c r="A131" s="274">
        <v>3317</v>
      </c>
      <c r="B131" s="283" t="s">
        <v>24</v>
      </c>
      <c r="C131" s="283">
        <v>22</v>
      </c>
      <c r="D131" s="276">
        <v>10</v>
      </c>
      <c r="E131" s="261" t="s">
        <v>546</v>
      </c>
      <c r="F131" s="309" t="s">
        <v>19</v>
      </c>
    </row>
    <row r="132" spans="1:6" ht="14.4" thickBot="1">
      <c r="A132" s="288">
        <v>3318</v>
      </c>
      <c r="B132" s="297" t="s">
        <v>24</v>
      </c>
      <c r="C132" s="297">
        <v>23</v>
      </c>
      <c r="D132" s="290">
        <v>10</v>
      </c>
      <c r="E132" s="263" t="s">
        <v>654</v>
      </c>
      <c r="F132" s="312" t="s">
        <v>655</v>
      </c>
    </row>
    <row r="133" spans="1:6" ht="14.4" thickTop="1">
      <c r="A133" s="264">
        <v>3319</v>
      </c>
      <c r="B133" s="265" t="s">
        <v>656</v>
      </c>
      <c r="C133" s="265">
        <v>1</v>
      </c>
      <c r="D133" s="266">
        <v>12</v>
      </c>
      <c r="E133" s="259" t="s">
        <v>657</v>
      </c>
      <c r="F133" s="307" t="s">
        <v>679</v>
      </c>
    </row>
    <row r="134" spans="1:6">
      <c r="A134" s="274">
        <v>3320</v>
      </c>
      <c r="B134" s="283" t="s">
        <v>656</v>
      </c>
      <c r="C134" s="283">
        <v>2</v>
      </c>
      <c r="D134" s="276">
        <v>12</v>
      </c>
      <c r="E134" s="261" t="s">
        <v>658</v>
      </c>
      <c r="F134" s="309" t="s">
        <v>14</v>
      </c>
    </row>
    <row r="135" spans="1:6">
      <c r="A135" s="274">
        <v>3321</v>
      </c>
      <c r="B135" s="283" t="s">
        <v>656</v>
      </c>
      <c r="C135" s="283">
        <v>3</v>
      </c>
      <c r="D135" s="276">
        <v>12</v>
      </c>
      <c r="E135" s="261" t="s">
        <v>659</v>
      </c>
      <c r="F135" s="310" t="s">
        <v>18</v>
      </c>
    </row>
    <row r="136" spans="1:6">
      <c r="A136" s="274">
        <v>3323</v>
      </c>
      <c r="B136" s="283" t="s">
        <v>656</v>
      </c>
      <c r="C136" s="283">
        <v>4</v>
      </c>
      <c r="D136" s="276">
        <v>12</v>
      </c>
      <c r="E136" s="261" t="s">
        <v>660</v>
      </c>
      <c r="F136" s="309" t="s">
        <v>12</v>
      </c>
    </row>
    <row r="137" spans="1:6">
      <c r="A137" s="274">
        <v>3325</v>
      </c>
      <c r="B137" s="283" t="s">
        <v>656</v>
      </c>
      <c r="C137" s="283">
        <v>5</v>
      </c>
      <c r="D137" s="276">
        <v>8</v>
      </c>
      <c r="E137" s="261" t="s">
        <v>661</v>
      </c>
      <c r="F137" s="309" t="s">
        <v>695</v>
      </c>
    </row>
    <row r="138" spans="1:6">
      <c r="A138" s="274">
        <v>3326</v>
      </c>
      <c r="B138" s="283" t="s">
        <v>656</v>
      </c>
      <c r="C138" s="283">
        <v>6</v>
      </c>
      <c r="D138" s="276">
        <v>12</v>
      </c>
      <c r="E138" s="287" t="s">
        <v>575</v>
      </c>
      <c r="F138" s="310" t="s">
        <v>65</v>
      </c>
    </row>
    <row r="139" spans="1:6">
      <c r="A139" s="274">
        <v>3327</v>
      </c>
      <c r="B139" s="283" t="s">
        <v>656</v>
      </c>
      <c r="C139" s="283">
        <v>7</v>
      </c>
      <c r="D139" s="276">
        <v>12</v>
      </c>
      <c r="E139" s="287" t="s">
        <v>662</v>
      </c>
      <c r="F139" s="310" t="s">
        <v>48</v>
      </c>
    </row>
    <row r="140" spans="1:6">
      <c r="A140" s="274">
        <v>3328</v>
      </c>
      <c r="B140" s="283" t="s">
        <v>656</v>
      </c>
      <c r="C140" s="283">
        <v>8</v>
      </c>
      <c r="D140" s="276">
        <v>12</v>
      </c>
      <c r="E140" s="261" t="s">
        <v>156</v>
      </c>
      <c r="F140" s="309" t="s">
        <v>14</v>
      </c>
    </row>
    <row r="141" spans="1:6">
      <c r="A141" s="274">
        <v>3329</v>
      </c>
      <c r="B141" s="283" t="s">
        <v>656</v>
      </c>
      <c r="C141" s="283">
        <v>9</v>
      </c>
      <c r="D141" s="276">
        <v>11</v>
      </c>
      <c r="E141" s="261" t="s">
        <v>663</v>
      </c>
      <c r="F141" s="309" t="s">
        <v>14</v>
      </c>
    </row>
    <row r="142" spans="1:6">
      <c r="A142" s="274">
        <v>3249</v>
      </c>
      <c r="B142" s="283" t="s">
        <v>656</v>
      </c>
      <c r="C142" s="283">
        <v>10</v>
      </c>
      <c r="D142" s="276">
        <v>12</v>
      </c>
      <c r="E142" s="261" t="s">
        <v>664</v>
      </c>
      <c r="F142" s="309" t="s">
        <v>128</v>
      </c>
    </row>
    <row r="143" spans="1:6">
      <c r="A143" s="274">
        <v>3330</v>
      </c>
      <c r="B143" s="283" t="s">
        <v>656</v>
      </c>
      <c r="C143" s="283">
        <v>11</v>
      </c>
      <c r="D143" s="276">
        <v>11</v>
      </c>
      <c r="E143" s="261" t="s">
        <v>665</v>
      </c>
      <c r="F143" s="309" t="s">
        <v>19</v>
      </c>
    </row>
    <row r="144" spans="1:6">
      <c r="A144" s="274">
        <v>3331</v>
      </c>
      <c r="B144" s="283" t="s">
        <v>656</v>
      </c>
      <c r="C144" s="283">
        <v>12</v>
      </c>
      <c r="D144" s="276">
        <v>11</v>
      </c>
      <c r="E144" s="261" t="s">
        <v>666</v>
      </c>
      <c r="F144" s="309" t="s">
        <v>79</v>
      </c>
    </row>
    <row r="145" spans="1:6">
      <c r="A145" s="274">
        <v>3332</v>
      </c>
      <c r="B145" s="283" t="s">
        <v>656</v>
      </c>
      <c r="C145" s="283">
        <v>13</v>
      </c>
      <c r="D145" s="276">
        <v>11</v>
      </c>
      <c r="E145" s="261" t="s">
        <v>438</v>
      </c>
      <c r="F145" s="309" t="s">
        <v>676</v>
      </c>
    </row>
    <row r="146" spans="1:6">
      <c r="A146" s="274">
        <v>3333</v>
      </c>
      <c r="B146" s="283" t="s">
        <v>656</v>
      </c>
      <c r="C146" s="283">
        <v>14</v>
      </c>
      <c r="D146" s="276">
        <v>12</v>
      </c>
      <c r="E146" s="261" t="s">
        <v>581</v>
      </c>
      <c r="F146" s="309" t="s">
        <v>677</v>
      </c>
    </row>
    <row r="147" spans="1:6">
      <c r="A147" s="274">
        <v>3334</v>
      </c>
      <c r="B147" s="283" t="s">
        <v>656</v>
      </c>
      <c r="C147" s="283">
        <v>15</v>
      </c>
      <c r="D147" s="276">
        <v>12</v>
      </c>
      <c r="E147" s="261" t="s">
        <v>345</v>
      </c>
      <c r="F147" s="309" t="s">
        <v>188</v>
      </c>
    </row>
    <row r="148" spans="1:6">
      <c r="A148" s="274">
        <v>3335</v>
      </c>
      <c r="B148" s="283" t="s">
        <v>656</v>
      </c>
      <c r="C148" s="283">
        <v>16</v>
      </c>
      <c r="D148" s="276">
        <v>12</v>
      </c>
      <c r="E148" s="261" t="s">
        <v>667</v>
      </c>
      <c r="F148" s="309" t="s">
        <v>82</v>
      </c>
    </row>
    <row r="149" spans="1:6">
      <c r="A149" s="274">
        <v>3336</v>
      </c>
      <c r="B149" s="283" t="s">
        <v>656</v>
      </c>
      <c r="C149" s="283">
        <v>17</v>
      </c>
      <c r="D149" s="276">
        <v>11</v>
      </c>
      <c r="E149" s="287" t="s">
        <v>668</v>
      </c>
      <c r="F149" s="310" t="s">
        <v>385</v>
      </c>
    </row>
    <row r="150" spans="1:6">
      <c r="A150" s="274">
        <v>3337</v>
      </c>
      <c r="B150" s="283" t="s">
        <v>656</v>
      </c>
      <c r="C150" s="283">
        <v>18</v>
      </c>
      <c r="D150" s="276">
        <v>11</v>
      </c>
      <c r="E150" s="261" t="s">
        <v>669</v>
      </c>
      <c r="F150" s="309" t="s">
        <v>675</v>
      </c>
    </row>
    <row r="151" spans="1:6">
      <c r="A151" s="274">
        <v>3338</v>
      </c>
      <c r="B151" s="283" t="s">
        <v>656</v>
      </c>
      <c r="C151" s="283">
        <v>19</v>
      </c>
      <c r="D151" s="276">
        <v>11</v>
      </c>
      <c r="E151" s="287" t="s">
        <v>357</v>
      </c>
      <c r="F151" s="310" t="s">
        <v>18</v>
      </c>
    </row>
    <row r="152" spans="1:6">
      <c r="A152" s="274">
        <v>3339</v>
      </c>
      <c r="B152" s="283" t="s">
        <v>656</v>
      </c>
      <c r="C152" s="283">
        <v>20</v>
      </c>
      <c r="D152" s="276">
        <v>11</v>
      </c>
      <c r="E152" s="261" t="s">
        <v>387</v>
      </c>
      <c r="F152" s="310" t="s">
        <v>65</v>
      </c>
    </row>
    <row r="153" spans="1:6">
      <c r="A153" s="274">
        <v>3340</v>
      </c>
      <c r="B153" s="283" t="s">
        <v>656</v>
      </c>
      <c r="C153" s="283">
        <v>21</v>
      </c>
      <c r="D153" s="276">
        <v>12</v>
      </c>
      <c r="E153" s="261" t="s">
        <v>387</v>
      </c>
      <c r="F153" s="309" t="s">
        <v>47</v>
      </c>
    </row>
    <row r="154" spans="1:6">
      <c r="A154" s="274">
        <v>3341</v>
      </c>
      <c r="B154" s="283" t="s">
        <v>656</v>
      </c>
      <c r="C154" s="283">
        <v>22</v>
      </c>
      <c r="D154" s="276">
        <v>11</v>
      </c>
      <c r="E154" s="261" t="s">
        <v>670</v>
      </c>
      <c r="F154" s="310" t="s">
        <v>385</v>
      </c>
    </row>
    <row r="155" spans="1:6">
      <c r="A155" s="274">
        <v>3342</v>
      </c>
      <c r="B155" s="283" t="s">
        <v>656</v>
      </c>
      <c r="C155" s="283">
        <v>23</v>
      </c>
      <c r="D155" s="276">
        <v>8</v>
      </c>
      <c r="E155" s="261" t="s">
        <v>671</v>
      </c>
      <c r="F155" s="309" t="s">
        <v>14</v>
      </c>
    </row>
    <row r="156" spans="1:6">
      <c r="A156" s="274">
        <v>3343</v>
      </c>
      <c r="B156" s="283" t="s">
        <v>656</v>
      </c>
      <c r="C156" s="283">
        <v>24</v>
      </c>
      <c r="D156" s="276">
        <v>12</v>
      </c>
      <c r="E156" s="261" t="s">
        <v>360</v>
      </c>
      <c r="F156" s="309" t="s">
        <v>79</v>
      </c>
    </row>
    <row r="157" spans="1:6">
      <c r="A157" s="274">
        <v>3344</v>
      </c>
      <c r="B157" s="283" t="s">
        <v>656</v>
      </c>
      <c r="C157" s="283">
        <v>25</v>
      </c>
      <c r="D157" s="276">
        <v>12</v>
      </c>
      <c r="E157" s="261" t="s">
        <v>640</v>
      </c>
      <c r="F157" s="309" t="s">
        <v>19</v>
      </c>
    </row>
    <row r="158" spans="1:6" ht="14.4" thickBot="1">
      <c r="A158" s="288">
        <v>3345</v>
      </c>
      <c r="B158" s="297" t="s">
        <v>656</v>
      </c>
      <c r="C158" s="297">
        <v>26</v>
      </c>
      <c r="D158" s="290">
        <v>12</v>
      </c>
      <c r="E158" s="263" t="s">
        <v>110</v>
      </c>
      <c r="F158" s="312" t="s">
        <v>12</v>
      </c>
    </row>
    <row r="159" spans="1:6" ht="14.4" thickTop="1"/>
  </sheetData>
  <autoFilter ref="A1:F158">
    <sortState ref="A4:F127">
      <sortCondition ref="B1:B127"/>
    </sortState>
  </autoFilter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workbookViewId="0">
      <pane ySplit="1" topLeftCell="A83" activePane="bottomLeft" state="frozen"/>
      <selection activeCell="I120" sqref="I120"/>
      <selection pane="bottomLeft" activeCell="O83" sqref="O83"/>
    </sheetView>
  </sheetViews>
  <sheetFormatPr defaultColWidth="9.109375" defaultRowHeight="14.4"/>
  <cols>
    <col min="1" max="1" width="4" style="10" bestFit="1" customWidth="1"/>
    <col min="2" max="2" width="5.88671875" style="10" bestFit="1" customWidth="1"/>
    <col min="3" max="3" width="4.33203125" style="10" customWidth="1"/>
    <col min="4" max="4" width="9.109375" style="10"/>
    <col min="5" max="5" width="20.109375" style="10" bestFit="1" customWidth="1"/>
    <col min="6" max="6" width="19.109375" style="10" bestFit="1" customWidth="1"/>
    <col min="7" max="7" width="19.109375" style="10" customWidth="1"/>
    <col min="8" max="8" width="14.88671875" style="10" customWidth="1"/>
    <col min="9" max="16384" width="9.109375" style="10"/>
  </cols>
  <sheetData>
    <row r="1" spans="1:8" ht="32.25" customHeight="1" thickBot="1">
      <c r="A1" s="120" t="s">
        <v>3</v>
      </c>
      <c r="B1" s="120" t="s">
        <v>4</v>
      </c>
      <c r="C1" s="120" t="s">
        <v>6</v>
      </c>
      <c r="D1" s="120" t="s">
        <v>5</v>
      </c>
      <c r="E1" s="120" t="s">
        <v>7</v>
      </c>
      <c r="F1" s="120" t="s">
        <v>42</v>
      </c>
      <c r="G1" s="120" t="s">
        <v>222</v>
      </c>
      <c r="H1" s="126" t="s">
        <v>221</v>
      </c>
    </row>
    <row r="2" spans="1:8" ht="15" customHeight="1">
      <c r="A2" s="35">
        <v>1</v>
      </c>
      <c r="B2" s="33" t="s">
        <v>21</v>
      </c>
      <c r="C2" s="33">
        <v>1</v>
      </c>
      <c r="D2" s="33">
        <v>2</v>
      </c>
      <c r="E2" s="33" t="s">
        <v>180</v>
      </c>
      <c r="F2" s="33" t="s">
        <v>50</v>
      </c>
      <c r="G2" s="33"/>
      <c r="H2" s="125"/>
    </row>
    <row r="3" spans="1:8">
      <c r="A3" s="36">
        <v>2</v>
      </c>
      <c r="B3" s="30" t="s">
        <v>21</v>
      </c>
      <c r="C3" s="30">
        <v>2</v>
      </c>
      <c r="D3" s="30">
        <v>2</v>
      </c>
      <c r="E3" s="30" t="s">
        <v>15</v>
      </c>
      <c r="F3" s="30" t="s">
        <v>83</v>
      </c>
      <c r="G3" s="30"/>
      <c r="H3" s="123"/>
    </row>
    <row r="4" spans="1:8">
      <c r="A4" s="36">
        <v>3</v>
      </c>
      <c r="B4" s="30" t="s">
        <v>21</v>
      </c>
      <c r="C4" s="30">
        <v>3</v>
      </c>
      <c r="D4" s="30">
        <v>1</v>
      </c>
      <c r="E4" s="30" t="s">
        <v>48</v>
      </c>
      <c r="F4" s="30" t="s">
        <v>84</v>
      </c>
      <c r="G4" s="30" t="s">
        <v>63</v>
      </c>
      <c r="H4" s="123" t="s">
        <v>219</v>
      </c>
    </row>
    <row r="5" spans="1:8">
      <c r="A5" s="36">
        <v>4</v>
      </c>
      <c r="B5" s="6" t="s">
        <v>21</v>
      </c>
      <c r="C5" s="6">
        <v>4</v>
      </c>
      <c r="D5" s="30">
        <v>2</v>
      </c>
      <c r="E5" s="6" t="s">
        <v>66</v>
      </c>
      <c r="F5" s="6" t="s">
        <v>85</v>
      </c>
      <c r="G5" s="6"/>
      <c r="H5" s="123"/>
    </row>
    <row r="6" spans="1:8">
      <c r="A6" s="36">
        <v>5</v>
      </c>
      <c r="B6" s="6" t="s">
        <v>21</v>
      </c>
      <c r="C6" s="6">
        <v>5</v>
      </c>
      <c r="D6" s="30">
        <v>1</v>
      </c>
      <c r="E6" s="6" t="s">
        <v>19</v>
      </c>
      <c r="F6" s="6" t="s">
        <v>86</v>
      </c>
      <c r="G6" s="6"/>
      <c r="H6" s="123"/>
    </row>
    <row r="7" spans="1:8">
      <c r="A7" s="36">
        <v>6</v>
      </c>
      <c r="B7" s="6" t="s">
        <v>21</v>
      </c>
      <c r="C7" s="6">
        <v>6</v>
      </c>
      <c r="D7" s="30">
        <v>2</v>
      </c>
      <c r="E7" s="6" t="s">
        <v>179</v>
      </c>
      <c r="F7" s="6" t="s">
        <v>87</v>
      </c>
      <c r="G7" s="6"/>
      <c r="H7" s="123"/>
    </row>
    <row r="8" spans="1:8">
      <c r="A8" s="36">
        <v>7</v>
      </c>
      <c r="B8" s="6" t="s">
        <v>21</v>
      </c>
      <c r="C8" s="6">
        <v>7</v>
      </c>
      <c r="D8" s="30">
        <v>1</v>
      </c>
      <c r="E8" s="6" t="s">
        <v>9</v>
      </c>
      <c r="F8" s="6" t="s">
        <v>88</v>
      </c>
      <c r="G8" s="6"/>
      <c r="H8" s="123"/>
    </row>
    <row r="9" spans="1:8">
      <c r="A9" s="36">
        <v>8</v>
      </c>
      <c r="B9" s="6" t="s">
        <v>21</v>
      </c>
      <c r="C9" s="6">
        <v>8</v>
      </c>
      <c r="D9" s="30">
        <v>2</v>
      </c>
      <c r="E9" s="6" t="s">
        <v>0</v>
      </c>
      <c r="F9" s="6" t="s">
        <v>89</v>
      </c>
      <c r="G9" s="6"/>
      <c r="H9" s="123"/>
    </row>
    <row r="10" spans="1:8">
      <c r="A10" s="36">
        <v>9</v>
      </c>
      <c r="B10" s="6" t="s">
        <v>21</v>
      </c>
      <c r="C10" s="6">
        <v>9</v>
      </c>
      <c r="D10" s="30">
        <v>2</v>
      </c>
      <c r="E10" s="6" t="s">
        <v>10</v>
      </c>
      <c r="F10" s="6" t="s">
        <v>90</v>
      </c>
      <c r="G10" s="6"/>
      <c r="H10" s="123"/>
    </row>
    <row r="11" spans="1:8">
      <c r="A11" s="36">
        <v>10</v>
      </c>
      <c r="B11" s="6" t="s">
        <v>21</v>
      </c>
      <c r="C11" s="6">
        <v>10</v>
      </c>
      <c r="D11" s="30">
        <v>1</v>
      </c>
      <c r="E11" s="6" t="s">
        <v>14</v>
      </c>
      <c r="F11" s="6" t="s">
        <v>91</v>
      </c>
      <c r="G11" s="6"/>
      <c r="H11" s="123"/>
    </row>
    <row r="12" spans="1:8">
      <c r="A12" s="36">
        <v>11</v>
      </c>
      <c r="B12" s="6" t="s">
        <v>21</v>
      </c>
      <c r="C12" s="6">
        <v>11</v>
      </c>
      <c r="D12" s="30">
        <v>1</v>
      </c>
      <c r="E12" s="6" t="s">
        <v>177</v>
      </c>
      <c r="F12" s="6" t="s">
        <v>44</v>
      </c>
      <c r="G12" s="6"/>
      <c r="H12" s="123"/>
    </row>
    <row r="13" spans="1:8">
      <c r="A13" s="36">
        <v>12</v>
      </c>
      <c r="B13" s="6" t="s">
        <v>21</v>
      </c>
      <c r="C13" s="6">
        <v>12</v>
      </c>
      <c r="D13" s="30">
        <v>2</v>
      </c>
      <c r="E13" s="6" t="s">
        <v>81</v>
      </c>
      <c r="F13" s="6" t="s">
        <v>92</v>
      </c>
      <c r="G13" s="6"/>
      <c r="H13" s="123"/>
    </row>
    <row r="14" spans="1:8">
      <c r="A14" s="36">
        <v>13</v>
      </c>
      <c r="B14" s="6" t="s">
        <v>21</v>
      </c>
      <c r="C14" s="6">
        <v>13</v>
      </c>
      <c r="D14" s="30">
        <v>2</v>
      </c>
      <c r="E14" s="6" t="s">
        <v>93</v>
      </c>
      <c r="F14" s="6" t="s">
        <v>41</v>
      </c>
      <c r="G14" s="6"/>
      <c r="H14" s="123"/>
    </row>
    <row r="15" spans="1:8">
      <c r="A15" s="36">
        <v>14</v>
      </c>
      <c r="B15" s="6" t="s">
        <v>21</v>
      </c>
      <c r="C15" s="6">
        <v>14</v>
      </c>
      <c r="D15" s="30">
        <v>1</v>
      </c>
      <c r="E15" s="6" t="s">
        <v>11</v>
      </c>
      <c r="F15" s="6" t="s">
        <v>94</v>
      </c>
      <c r="G15" s="6"/>
      <c r="H15" s="123"/>
    </row>
    <row r="16" spans="1:8">
      <c r="A16" s="36">
        <v>15</v>
      </c>
      <c r="B16" s="6" t="s">
        <v>21</v>
      </c>
      <c r="C16" s="6">
        <v>15</v>
      </c>
      <c r="D16" s="30">
        <v>2</v>
      </c>
      <c r="E16" s="6" t="s">
        <v>79</v>
      </c>
      <c r="F16" s="6" t="s">
        <v>95</v>
      </c>
      <c r="G16" s="6"/>
      <c r="H16" s="123"/>
    </row>
    <row r="17" spans="1:8">
      <c r="A17" s="36">
        <v>16</v>
      </c>
      <c r="B17" s="6" t="s">
        <v>21</v>
      </c>
      <c r="C17" s="6">
        <v>16</v>
      </c>
      <c r="D17" s="30">
        <v>1</v>
      </c>
      <c r="E17" s="6" t="s">
        <v>178</v>
      </c>
      <c r="F17" s="6" t="s">
        <v>96</v>
      </c>
      <c r="G17" s="30" t="s">
        <v>63</v>
      </c>
      <c r="H17" s="123" t="s">
        <v>219</v>
      </c>
    </row>
    <row r="18" spans="1:8">
      <c r="A18" s="36">
        <v>17</v>
      </c>
      <c r="B18" s="6" t="s">
        <v>21</v>
      </c>
      <c r="C18" s="6">
        <v>17</v>
      </c>
      <c r="D18" s="30">
        <v>2</v>
      </c>
      <c r="E18" s="6" t="s">
        <v>67</v>
      </c>
      <c r="F18" s="6" t="s">
        <v>20</v>
      </c>
      <c r="G18" s="6"/>
      <c r="H18" s="123"/>
    </row>
    <row r="19" spans="1:8">
      <c r="A19" s="36">
        <v>18</v>
      </c>
      <c r="B19" s="6" t="s">
        <v>21</v>
      </c>
      <c r="C19" s="6">
        <v>18</v>
      </c>
      <c r="D19" s="30">
        <v>1</v>
      </c>
      <c r="E19" s="6" t="s">
        <v>2</v>
      </c>
      <c r="F19" s="6" t="s">
        <v>97</v>
      </c>
      <c r="G19" s="6"/>
      <c r="H19" s="123"/>
    </row>
    <row r="20" spans="1:8">
      <c r="A20" s="36">
        <v>19</v>
      </c>
      <c r="B20" s="6" t="s">
        <v>21</v>
      </c>
      <c r="C20" s="6">
        <v>19</v>
      </c>
      <c r="D20" s="30">
        <v>1</v>
      </c>
      <c r="E20" s="6" t="s">
        <v>81</v>
      </c>
      <c r="F20" s="6" t="s">
        <v>98</v>
      </c>
      <c r="G20" s="6"/>
      <c r="H20" s="123"/>
    </row>
    <row r="21" spans="1:8">
      <c r="A21" s="36">
        <v>20</v>
      </c>
      <c r="B21" s="30" t="s">
        <v>21</v>
      </c>
      <c r="C21" s="6">
        <v>20</v>
      </c>
      <c r="D21" s="30">
        <v>1</v>
      </c>
      <c r="E21" s="30" t="s">
        <v>16</v>
      </c>
      <c r="F21" s="30" t="s">
        <v>57</v>
      </c>
      <c r="G21" s="30"/>
      <c r="H21" s="123"/>
    </row>
    <row r="22" spans="1:8">
      <c r="A22" s="36">
        <v>21</v>
      </c>
      <c r="B22" s="30" t="s">
        <v>21</v>
      </c>
      <c r="C22" s="6">
        <v>21</v>
      </c>
      <c r="D22" s="30">
        <v>2</v>
      </c>
      <c r="E22" s="30" t="s">
        <v>65</v>
      </c>
      <c r="F22" s="30" t="s">
        <v>99</v>
      </c>
      <c r="G22" s="30"/>
      <c r="H22" s="123"/>
    </row>
    <row r="23" spans="1:8">
      <c r="A23" s="36">
        <v>22</v>
      </c>
      <c r="B23" s="30" t="s">
        <v>21</v>
      </c>
      <c r="C23" s="6">
        <v>22</v>
      </c>
      <c r="D23" s="30">
        <v>1</v>
      </c>
      <c r="E23" s="30" t="s">
        <v>100</v>
      </c>
      <c r="F23" s="6" t="s">
        <v>101</v>
      </c>
      <c r="G23" s="30" t="s">
        <v>63</v>
      </c>
      <c r="H23" s="123" t="s">
        <v>219</v>
      </c>
    </row>
    <row r="24" spans="1:8">
      <c r="A24" s="36">
        <v>23</v>
      </c>
      <c r="B24" s="30" t="s">
        <v>21</v>
      </c>
      <c r="C24" s="6">
        <v>23</v>
      </c>
      <c r="D24" s="30">
        <v>2</v>
      </c>
      <c r="E24" s="30" t="s">
        <v>64</v>
      </c>
      <c r="F24" s="30" t="s">
        <v>1</v>
      </c>
      <c r="G24" s="30"/>
      <c r="H24" s="123"/>
    </row>
    <row r="25" spans="1:8">
      <c r="A25" s="36">
        <v>24</v>
      </c>
      <c r="B25" s="30" t="s">
        <v>21</v>
      </c>
      <c r="C25" s="6">
        <v>24</v>
      </c>
      <c r="D25" s="30">
        <v>2</v>
      </c>
      <c r="E25" s="30" t="s">
        <v>102</v>
      </c>
      <c r="F25" s="6" t="s">
        <v>103</v>
      </c>
      <c r="G25" s="30"/>
      <c r="H25" s="123"/>
    </row>
    <row r="26" spans="1:8">
      <c r="A26" s="36">
        <v>25</v>
      </c>
      <c r="B26" s="6" t="s">
        <v>21</v>
      </c>
      <c r="C26" s="6">
        <v>25</v>
      </c>
      <c r="D26" s="30">
        <v>2</v>
      </c>
      <c r="E26" s="6" t="s">
        <v>175</v>
      </c>
      <c r="F26" s="6" t="s">
        <v>104</v>
      </c>
      <c r="G26" s="6"/>
      <c r="H26" s="123"/>
    </row>
    <row r="27" spans="1:8">
      <c r="A27" s="36">
        <v>79</v>
      </c>
      <c r="B27" s="30" t="s">
        <v>21</v>
      </c>
      <c r="C27" s="6">
        <v>26</v>
      </c>
      <c r="D27" s="30">
        <v>1</v>
      </c>
      <c r="E27" s="30" t="s">
        <v>47</v>
      </c>
      <c r="F27" s="30" t="s">
        <v>49</v>
      </c>
      <c r="G27" s="30"/>
      <c r="H27" s="123"/>
    </row>
    <row r="28" spans="1:8">
      <c r="A28" s="36">
        <v>26</v>
      </c>
      <c r="B28" s="30" t="s">
        <v>21</v>
      </c>
      <c r="C28" s="6">
        <v>27</v>
      </c>
      <c r="D28" s="30">
        <v>1</v>
      </c>
      <c r="E28" s="30" t="s">
        <v>93</v>
      </c>
      <c r="F28" s="30" t="s">
        <v>43</v>
      </c>
      <c r="G28" s="30"/>
      <c r="H28" s="123"/>
    </row>
    <row r="29" spans="1:8">
      <c r="A29" s="36">
        <v>27</v>
      </c>
      <c r="B29" s="30" t="s">
        <v>21</v>
      </c>
      <c r="C29" s="6">
        <v>28</v>
      </c>
      <c r="D29" s="30">
        <v>2</v>
      </c>
      <c r="E29" s="30" t="s">
        <v>48</v>
      </c>
      <c r="F29" s="30" t="s">
        <v>105</v>
      </c>
      <c r="G29" s="30"/>
      <c r="H29" s="123"/>
    </row>
    <row r="30" spans="1:8">
      <c r="A30" s="36">
        <v>28</v>
      </c>
      <c r="B30" s="30" t="s">
        <v>21</v>
      </c>
      <c r="C30" s="6">
        <v>29</v>
      </c>
      <c r="D30" s="30">
        <v>1</v>
      </c>
      <c r="E30" s="30" t="s">
        <v>174</v>
      </c>
      <c r="F30" s="30" t="s">
        <v>106</v>
      </c>
      <c r="G30" s="30"/>
      <c r="H30" s="123"/>
    </row>
    <row r="31" spans="1:8">
      <c r="A31" s="36">
        <v>29</v>
      </c>
      <c r="B31" s="30" t="s">
        <v>21</v>
      </c>
      <c r="C31" s="6">
        <v>30</v>
      </c>
      <c r="D31" s="30">
        <v>2</v>
      </c>
      <c r="E31" s="30" t="s">
        <v>18</v>
      </c>
      <c r="F31" s="30" t="s">
        <v>107</v>
      </c>
      <c r="G31" s="30"/>
      <c r="H31" s="123"/>
    </row>
    <row r="32" spans="1:8">
      <c r="A32" s="36">
        <v>30</v>
      </c>
      <c r="B32" s="30" t="s">
        <v>21</v>
      </c>
      <c r="C32" s="6">
        <v>31</v>
      </c>
      <c r="D32" s="30">
        <v>1</v>
      </c>
      <c r="E32" s="30" t="s">
        <v>173</v>
      </c>
      <c r="F32" s="30" t="s">
        <v>108</v>
      </c>
      <c r="G32" s="30"/>
      <c r="H32" s="123"/>
    </row>
    <row r="33" spans="1:8">
      <c r="A33" s="36">
        <v>31</v>
      </c>
      <c r="B33" s="30" t="s">
        <v>21</v>
      </c>
      <c r="C33" s="6">
        <v>32</v>
      </c>
      <c r="D33" s="30">
        <v>1</v>
      </c>
      <c r="E33" s="30" t="s">
        <v>80</v>
      </c>
      <c r="F33" s="30" t="s">
        <v>109</v>
      </c>
      <c r="G33" s="30"/>
      <c r="H33" s="123"/>
    </row>
    <row r="34" spans="1:8" ht="15" thickBot="1">
      <c r="A34" s="38">
        <v>32</v>
      </c>
      <c r="B34" s="31" t="s">
        <v>21</v>
      </c>
      <c r="C34" s="24">
        <v>33</v>
      </c>
      <c r="D34" s="31">
        <v>1</v>
      </c>
      <c r="E34" s="31" t="s">
        <v>176</v>
      </c>
      <c r="F34" s="31" t="s">
        <v>110</v>
      </c>
      <c r="G34" s="24"/>
      <c r="H34" s="122"/>
    </row>
    <row r="35" spans="1:8">
      <c r="A35" s="35">
        <v>34</v>
      </c>
      <c r="B35" s="33" t="s">
        <v>22</v>
      </c>
      <c r="C35" s="4">
        <v>1</v>
      </c>
      <c r="D35" s="33">
        <v>4</v>
      </c>
      <c r="E35" s="33" t="s">
        <v>182</v>
      </c>
      <c r="F35" s="33" t="s">
        <v>17</v>
      </c>
      <c r="G35" s="33"/>
      <c r="H35" s="125"/>
    </row>
    <row r="36" spans="1:8">
      <c r="A36" s="36">
        <v>35</v>
      </c>
      <c r="B36" s="30" t="s">
        <v>22</v>
      </c>
      <c r="C36" s="30">
        <v>2</v>
      </c>
      <c r="D36" s="30">
        <v>4</v>
      </c>
      <c r="E36" s="30" t="s">
        <v>188</v>
      </c>
      <c r="F36" s="30" t="s">
        <v>112</v>
      </c>
      <c r="G36" s="30"/>
      <c r="H36" s="123"/>
    </row>
    <row r="37" spans="1:8">
      <c r="A37" s="36">
        <v>36</v>
      </c>
      <c r="B37" s="6" t="s">
        <v>22</v>
      </c>
      <c r="C37" s="6">
        <v>3</v>
      </c>
      <c r="D37" s="30">
        <v>4</v>
      </c>
      <c r="E37" s="6" t="s">
        <v>189</v>
      </c>
      <c r="F37" s="6" t="s">
        <v>113</v>
      </c>
      <c r="G37" s="6"/>
      <c r="H37" s="123"/>
    </row>
    <row r="38" spans="1:8">
      <c r="A38" s="36">
        <v>37</v>
      </c>
      <c r="B38" s="6" t="s">
        <v>22</v>
      </c>
      <c r="C38" s="6">
        <v>4</v>
      </c>
      <c r="D38" s="30">
        <v>4</v>
      </c>
      <c r="E38" s="6" t="s">
        <v>79</v>
      </c>
      <c r="F38" s="6" t="s">
        <v>85</v>
      </c>
      <c r="G38" s="6"/>
      <c r="H38" s="123"/>
    </row>
    <row r="39" spans="1:8">
      <c r="A39" s="36">
        <v>38</v>
      </c>
      <c r="B39" s="6" t="s">
        <v>22</v>
      </c>
      <c r="C39" s="30">
        <v>5</v>
      </c>
      <c r="D39" s="30">
        <v>3</v>
      </c>
      <c r="E39" s="6" t="s">
        <v>40</v>
      </c>
      <c r="F39" s="6" t="s">
        <v>114</v>
      </c>
      <c r="G39" s="6"/>
      <c r="H39" s="123"/>
    </row>
    <row r="40" spans="1:8">
      <c r="A40" s="36">
        <v>39</v>
      </c>
      <c r="B40" s="6" t="s">
        <v>22</v>
      </c>
      <c r="C40" s="6">
        <v>6</v>
      </c>
      <c r="D40" s="30">
        <v>4</v>
      </c>
      <c r="E40" s="6" t="s">
        <v>10</v>
      </c>
      <c r="F40" s="6" t="s">
        <v>115</v>
      </c>
      <c r="G40" s="6"/>
      <c r="H40" s="123"/>
    </row>
    <row r="41" spans="1:8">
      <c r="A41" s="36">
        <v>40</v>
      </c>
      <c r="B41" s="6" t="s">
        <v>22</v>
      </c>
      <c r="C41" s="6">
        <v>7</v>
      </c>
      <c r="D41" s="30">
        <v>3</v>
      </c>
      <c r="E41" s="6" t="s">
        <v>11</v>
      </c>
      <c r="F41" s="6" t="s">
        <v>116</v>
      </c>
      <c r="G41" s="6"/>
      <c r="H41" s="123"/>
    </row>
    <row r="42" spans="1:8">
      <c r="A42" s="36">
        <v>41</v>
      </c>
      <c r="B42" s="6" t="s">
        <v>22</v>
      </c>
      <c r="C42" s="30">
        <v>8</v>
      </c>
      <c r="D42" s="30">
        <v>3</v>
      </c>
      <c r="E42" s="6" t="s">
        <v>186</v>
      </c>
      <c r="F42" s="6" t="s">
        <v>117</v>
      </c>
      <c r="G42" s="6"/>
      <c r="H42" s="123"/>
    </row>
    <row r="43" spans="1:8">
      <c r="A43" s="36">
        <v>42</v>
      </c>
      <c r="B43" s="6" t="s">
        <v>22</v>
      </c>
      <c r="C43" s="6">
        <v>9</v>
      </c>
      <c r="D43" s="30">
        <v>4</v>
      </c>
      <c r="E43" s="6" t="s">
        <v>181</v>
      </c>
      <c r="F43" s="6" t="s">
        <v>118</v>
      </c>
      <c r="G43" s="6"/>
      <c r="H43" s="123"/>
    </row>
    <row r="44" spans="1:8">
      <c r="A44" s="36">
        <v>43</v>
      </c>
      <c r="B44" s="6" t="s">
        <v>22</v>
      </c>
      <c r="C44" s="6">
        <v>10</v>
      </c>
      <c r="D44" s="30">
        <v>3</v>
      </c>
      <c r="E44" s="6" t="s">
        <v>48</v>
      </c>
      <c r="F44" s="6" t="s">
        <v>119</v>
      </c>
      <c r="G44" s="6"/>
      <c r="H44" s="123"/>
    </row>
    <row r="45" spans="1:8">
      <c r="A45" s="36">
        <v>44</v>
      </c>
      <c r="B45" s="6" t="s">
        <v>22</v>
      </c>
      <c r="C45" s="30">
        <v>11</v>
      </c>
      <c r="D45" s="30">
        <v>3</v>
      </c>
      <c r="E45" s="6" t="s">
        <v>183</v>
      </c>
      <c r="F45" s="6" t="s">
        <v>120</v>
      </c>
      <c r="G45" s="6"/>
      <c r="H45" s="123"/>
    </row>
    <row r="46" spans="1:8">
      <c r="A46" s="36">
        <v>45</v>
      </c>
      <c r="B46" s="6" t="s">
        <v>22</v>
      </c>
      <c r="C46" s="6">
        <v>12</v>
      </c>
      <c r="D46" s="30">
        <v>3</v>
      </c>
      <c r="E46" s="6" t="s">
        <v>184</v>
      </c>
      <c r="F46" s="6" t="s">
        <v>121</v>
      </c>
      <c r="G46" s="6"/>
      <c r="H46" s="123"/>
    </row>
    <row r="47" spans="1:8">
      <c r="A47" s="36">
        <v>46</v>
      </c>
      <c r="B47" s="6" t="s">
        <v>22</v>
      </c>
      <c r="C47" s="6">
        <v>13</v>
      </c>
      <c r="D47" s="30">
        <v>3</v>
      </c>
      <c r="E47" s="30" t="s">
        <v>14</v>
      </c>
      <c r="F47" s="6" t="s">
        <v>46</v>
      </c>
      <c r="G47" s="6"/>
      <c r="H47" s="123"/>
    </row>
    <row r="48" spans="1:8">
      <c r="A48" s="36">
        <v>47</v>
      </c>
      <c r="B48" s="30" t="s">
        <v>22</v>
      </c>
      <c r="C48" s="30">
        <v>14</v>
      </c>
      <c r="D48" s="30">
        <v>4</v>
      </c>
      <c r="E48" s="30" t="s">
        <v>187</v>
      </c>
      <c r="F48" s="30" t="s">
        <v>123</v>
      </c>
      <c r="G48" s="30"/>
      <c r="H48" s="123"/>
    </row>
    <row r="49" spans="1:8">
      <c r="A49" s="36">
        <v>48</v>
      </c>
      <c r="B49" s="30" t="s">
        <v>22</v>
      </c>
      <c r="C49" s="6">
        <v>15</v>
      </c>
      <c r="D49" s="30">
        <v>3</v>
      </c>
      <c r="E49" s="6" t="s">
        <v>186</v>
      </c>
      <c r="F49" s="30" t="s">
        <v>124</v>
      </c>
      <c r="G49" s="30"/>
      <c r="H49" s="123"/>
    </row>
    <row r="50" spans="1:8">
      <c r="A50" s="36">
        <v>49</v>
      </c>
      <c r="B50" s="30" t="s">
        <v>22</v>
      </c>
      <c r="C50" s="6">
        <v>16</v>
      </c>
      <c r="D50" s="30">
        <v>4</v>
      </c>
      <c r="E50" s="30" t="s">
        <v>125</v>
      </c>
      <c r="F50" s="30" t="s">
        <v>126</v>
      </c>
      <c r="G50" s="30"/>
      <c r="H50" s="123"/>
    </row>
    <row r="51" spans="1:8">
      <c r="A51" s="36">
        <v>50</v>
      </c>
      <c r="B51" s="30" t="s">
        <v>22</v>
      </c>
      <c r="C51" s="30">
        <v>17</v>
      </c>
      <c r="D51" s="30">
        <v>3</v>
      </c>
      <c r="E51" s="30" t="s">
        <v>127</v>
      </c>
      <c r="F51" s="30" t="s">
        <v>52</v>
      </c>
      <c r="G51" s="30"/>
      <c r="H51" s="123"/>
    </row>
    <row r="52" spans="1:8">
      <c r="A52" s="36">
        <v>51</v>
      </c>
      <c r="B52" s="30" t="s">
        <v>22</v>
      </c>
      <c r="C52" s="6">
        <v>18</v>
      </c>
      <c r="D52" s="30">
        <v>3</v>
      </c>
      <c r="E52" s="30" t="s">
        <v>128</v>
      </c>
      <c r="F52" s="30" t="s">
        <v>129</v>
      </c>
      <c r="G52" s="30"/>
      <c r="H52" s="123"/>
    </row>
    <row r="53" spans="1:8">
      <c r="A53" s="36">
        <v>52</v>
      </c>
      <c r="B53" s="30" t="s">
        <v>22</v>
      </c>
      <c r="C53" s="6">
        <v>19</v>
      </c>
      <c r="D53" s="30">
        <v>3</v>
      </c>
      <c r="E53" s="30" t="s">
        <v>14</v>
      </c>
      <c r="F53" s="30" t="s">
        <v>130</v>
      </c>
      <c r="G53" s="30"/>
      <c r="H53" s="123"/>
    </row>
    <row r="54" spans="1:8">
      <c r="A54" s="36">
        <v>53</v>
      </c>
      <c r="B54" s="30" t="s">
        <v>22</v>
      </c>
      <c r="C54" s="30">
        <v>20</v>
      </c>
      <c r="D54" s="30">
        <v>3</v>
      </c>
      <c r="E54" s="6" t="s">
        <v>48</v>
      </c>
      <c r="F54" s="30" t="s">
        <v>131</v>
      </c>
      <c r="G54" s="30"/>
      <c r="H54" s="123"/>
    </row>
    <row r="55" spans="1:8">
      <c r="A55" s="36">
        <v>54</v>
      </c>
      <c r="B55" s="30" t="s">
        <v>22</v>
      </c>
      <c r="C55" s="6">
        <v>21</v>
      </c>
      <c r="D55" s="30">
        <v>4</v>
      </c>
      <c r="E55" s="30" t="s">
        <v>185</v>
      </c>
      <c r="F55" s="30" t="s">
        <v>60</v>
      </c>
      <c r="G55" s="30"/>
      <c r="H55" s="123"/>
    </row>
    <row r="56" spans="1:8">
      <c r="A56" s="36">
        <v>55</v>
      </c>
      <c r="B56" s="30" t="s">
        <v>22</v>
      </c>
      <c r="C56" s="6">
        <v>22</v>
      </c>
      <c r="D56" s="30">
        <v>4</v>
      </c>
      <c r="E56" s="30" t="s">
        <v>0</v>
      </c>
      <c r="F56" s="30" t="s">
        <v>106</v>
      </c>
      <c r="G56" s="30"/>
      <c r="H56" s="123"/>
    </row>
    <row r="57" spans="1:8">
      <c r="A57" s="36">
        <v>56</v>
      </c>
      <c r="B57" s="6" t="s">
        <v>22</v>
      </c>
      <c r="C57" s="30">
        <v>23</v>
      </c>
      <c r="D57" s="30">
        <v>3</v>
      </c>
      <c r="E57" s="6" t="s">
        <v>12</v>
      </c>
      <c r="F57" s="6" t="s">
        <v>132</v>
      </c>
      <c r="G57" s="6"/>
      <c r="H57" s="123"/>
    </row>
    <row r="58" spans="1:8">
      <c r="A58" s="36">
        <v>57</v>
      </c>
      <c r="B58" s="30" t="s">
        <v>22</v>
      </c>
      <c r="C58" s="6">
        <v>24</v>
      </c>
      <c r="D58" s="30">
        <v>3</v>
      </c>
      <c r="E58" s="30" t="s">
        <v>0</v>
      </c>
      <c r="F58" s="30" t="s">
        <v>54</v>
      </c>
      <c r="G58" s="30"/>
      <c r="H58" s="37"/>
    </row>
    <row r="59" spans="1:8">
      <c r="A59" s="36">
        <v>58</v>
      </c>
      <c r="B59" s="30" t="s">
        <v>22</v>
      </c>
      <c r="C59" s="6">
        <v>25</v>
      </c>
      <c r="D59" s="30">
        <v>3</v>
      </c>
      <c r="E59" s="30" t="s">
        <v>100</v>
      </c>
      <c r="F59" s="30" t="s">
        <v>133</v>
      </c>
      <c r="G59" s="30"/>
      <c r="H59" s="123"/>
    </row>
    <row r="60" spans="1:8">
      <c r="A60" s="36">
        <v>59</v>
      </c>
      <c r="B60" s="30" t="s">
        <v>22</v>
      </c>
      <c r="C60" s="30">
        <v>26</v>
      </c>
      <c r="D60" s="30">
        <v>4</v>
      </c>
      <c r="E60" s="6" t="s">
        <v>12</v>
      </c>
      <c r="F60" s="30" t="s">
        <v>111</v>
      </c>
      <c r="G60" s="30"/>
      <c r="H60" s="123"/>
    </row>
    <row r="61" spans="1:8" ht="15" thickBot="1">
      <c r="A61" s="38">
        <v>60</v>
      </c>
      <c r="B61" s="31" t="s">
        <v>22</v>
      </c>
      <c r="C61" s="24">
        <v>27</v>
      </c>
      <c r="D61" s="31">
        <v>3</v>
      </c>
      <c r="E61" s="31" t="s">
        <v>19</v>
      </c>
      <c r="F61" s="31" t="s">
        <v>111</v>
      </c>
      <c r="G61" s="31"/>
      <c r="H61" s="122"/>
    </row>
    <row r="62" spans="1:8">
      <c r="A62" s="35">
        <v>61</v>
      </c>
      <c r="B62" s="33" t="s">
        <v>23</v>
      </c>
      <c r="C62" s="4">
        <v>1</v>
      </c>
      <c r="D62" s="33">
        <v>6</v>
      </c>
      <c r="E62" s="33" t="s">
        <v>12</v>
      </c>
      <c r="F62" s="4" t="s">
        <v>134</v>
      </c>
      <c r="G62" s="33"/>
      <c r="H62" s="125"/>
    </row>
    <row r="63" spans="1:8">
      <c r="A63" s="36">
        <v>62</v>
      </c>
      <c r="B63" s="30" t="s">
        <v>23</v>
      </c>
      <c r="C63" s="6">
        <v>2</v>
      </c>
      <c r="D63" s="30">
        <v>5</v>
      </c>
      <c r="E63" s="30" t="s">
        <v>12</v>
      </c>
      <c r="F63" s="30" t="s">
        <v>135</v>
      </c>
      <c r="G63" s="30"/>
      <c r="H63" s="123"/>
    </row>
    <row r="64" spans="1:8">
      <c r="A64" s="36">
        <v>63</v>
      </c>
      <c r="B64" s="30" t="s">
        <v>23</v>
      </c>
      <c r="C64" s="30">
        <v>3</v>
      </c>
      <c r="D64" s="30">
        <v>6</v>
      </c>
      <c r="E64" s="30" t="s">
        <v>82</v>
      </c>
      <c r="F64" s="6" t="s">
        <v>136</v>
      </c>
      <c r="G64" s="30"/>
      <c r="H64" s="123"/>
    </row>
    <row r="65" spans="1:8">
      <c r="A65" s="36">
        <v>64</v>
      </c>
      <c r="B65" s="30" t="s">
        <v>23</v>
      </c>
      <c r="C65" s="6">
        <v>4</v>
      </c>
      <c r="D65" s="30">
        <v>5</v>
      </c>
      <c r="E65" s="30" t="s">
        <v>10</v>
      </c>
      <c r="F65" s="30" t="s">
        <v>137</v>
      </c>
      <c r="G65" s="30"/>
      <c r="H65" s="123"/>
    </row>
    <row r="66" spans="1:8">
      <c r="A66" s="36">
        <v>65</v>
      </c>
      <c r="B66" s="30" t="s">
        <v>23</v>
      </c>
      <c r="C66" s="6">
        <v>5</v>
      </c>
      <c r="D66" s="30">
        <v>6</v>
      </c>
      <c r="E66" s="30" t="s">
        <v>68</v>
      </c>
      <c r="F66" s="6" t="s">
        <v>138</v>
      </c>
      <c r="G66" s="30"/>
      <c r="H66" s="123"/>
    </row>
    <row r="67" spans="1:8">
      <c r="A67" s="36">
        <v>66</v>
      </c>
      <c r="B67" s="30" t="s">
        <v>23</v>
      </c>
      <c r="C67" s="30">
        <v>6</v>
      </c>
      <c r="D67" s="30">
        <v>5</v>
      </c>
      <c r="E67" s="30" t="s">
        <v>12</v>
      </c>
      <c r="F67" s="30" t="s">
        <v>45</v>
      </c>
      <c r="G67" s="30"/>
      <c r="H67" s="123"/>
    </row>
    <row r="68" spans="1:8">
      <c r="A68" s="36">
        <v>67</v>
      </c>
      <c r="B68" s="30" t="s">
        <v>23</v>
      </c>
      <c r="C68" s="6">
        <v>7</v>
      </c>
      <c r="D68" s="30">
        <v>6</v>
      </c>
      <c r="E68" s="30" t="s">
        <v>190</v>
      </c>
      <c r="F68" s="6" t="s">
        <v>139</v>
      </c>
      <c r="G68" s="30"/>
      <c r="H68" s="37"/>
    </row>
    <row r="69" spans="1:8">
      <c r="A69" s="36">
        <v>68</v>
      </c>
      <c r="B69" s="30" t="s">
        <v>23</v>
      </c>
      <c r="C69" s="6">
        <v>8</v>
      </c>
      <c r="D69" s="30">
        <v>6</v>
      </c>
      <c r="E69" s="30" t="s">
        <v>82</v>
      </c>
      <c r="F69" s="6" t="s">
        <v>140</v>
      </c>
      <c r="G69" s="30"/>
      <c r="H69" s="123"/>
    </row>
    <row r="70" spans="1:8">
      <c r="A70" s="36">
        <v>69</v>
      </c>
      <c r="B70" s="30" t="s">
        <v>23</v>
      </c>
      <c r="C70" s="30">
        <v>9</v>
      </c>
      <c r="D70" s="30">
        <v>6</v>
      </c>
      <c r="E70" s="30" t="s">
        <v>65</v>
      </c>
      <c r="F70" s="6" t="s">
        <v>141</v>
      </c>
      <c r="G70" s="30"/>
      <c r="H70" s="123"/>
    </row>
    <row r="71" spans="1:8">
      <c r="A71" s="36">
        <v>70</v>
      </c>
      <c r="B71" s="30" t="s">
        <v>23</v>
      </c>
      <c r="C71" s="6">
        <v>10</v>
      </c>
      <c r="D71" s="30">
        <v>6</v>
      </c>
      <c r="E71" s="30" t="s">
        <v>14</v>
      </c>
      <c r="F71" s="6" t="s">
        <v>142</v>
      </c>
      <c r="G71" s="30"/>
      <c r="H71" s="37"/>
    </row>
    <row r="72" spans="1:8">
      <c r="A72" s="36">
        <v>71</v>
      </c>
      <c r="B72" s="30" t="s">
        <v>23</v>
      </c>
      <c r="C72" s="6">
        <v>11</v>
      </c>
      <c r="D72" s="30">
        <v>6</v>
      </c>
      <c r="E72" s="30" t="s">
        <v>188</v>
      </c>
      <c r="F72" s="30" t="s">
        <v>58</v>
      </c>
      <c r="G72" s="30"/>
      <c r="H72" s="123"/>
    </row>
    <row r="73" spans="1:8">
      <c r="A73" s="36">
        <v>72</v>
      </c>
      <c r="B73" s="30" t="s">
        <v>23</v>
      </c>
      <c r="C73" s="30">
        <v>12</v>
      </c>
      <c r="D73" s="30">
        <v>5</v>
      </c>
      <c r="E73" s="30" t="s">
        <v>79</v>
      </c>
      <c r="F73" s="30" t="s">
        <v>143</v>
      </c>
      <c r="G73" s="30"/>
      <c r="H73" s="123"/>
    </row>
    <row r="74" spans="1:8">
      <c r="A74" s="36">
        <v>73</v>
      </c>
      <c r="B74" s="30" t="s">
        <v>23</v>
      </c>
      <c r="C74" s="6">
        <v>13</v>
      </c>
      <c r="D74" s="30">
        <v>6</v>
      </c>
      <c r="E74" s="30" t="s">
        <v>48</v>
      </c>
      <c r="F74" s="30" t="s">
        <v>144</v>
      </c>
      <c r="G74" s="30"/>
      <c r="H74" s="123"/>
    </row>
    <row r="75" spans="1:8">
      <c r="A75" s="36">
        <v>74</v>
      </c>
      <c r="B75" s="30" t="s">
        <v>23</v>
      </c>
      <c r="C75" s="6">
        <v>14</v>
      </c>
      <c r="D75" s="30">
        <v>5</v>
      </c>
      <c r="E75" s="30" t="s">
        <v>11</v>
      </c>
      <c r="F75" s="30" t="s">
        <v>145</v>
      </c>
      <c r="G75" s="30"/>
      <c r="H75" s="123"/>
    </row>
    <row r="76" spans="1:8">
      <c r="A76" s="36">
        <v>75</v>
      </c>
      <c r="B76" s="30" t="s">
        <v>23</v>
      </c>
      <c r="C76" s="30">
        <v>15</v>
      </c>
      <c r="D76" s="30">
        <v>5</v>
      </c>
      <c r="E76" s="30" t="s">
        <v>128</v>
      </c>
      <c r="F76" s="30" t="s">
        <v>55</v>
      </c>
      <c r="G76" s="30"/>
      <c r="H76" s="123"/>
    </row>
    <row r="77" spans="1:8">
      <c r="A77" s="36">
        <v>76</v>
      </c>
      <c r="B77" s="30" t="s">
        <v>23</v>
      </c>
      <c r="C77" s="6">
        <v>16</v>
      </c>
      <c r="D77" s="30">
        <v>5</v>
      </c>
      <c r="E77" s="30" t="s">
        <v>177</v>
      </c>
      <c r="F77" s="30" t="s">
        <v>146</v>
      </c>
      <c r="G77" s="30"/>
      <c r="H77" s="123"/>
    </row>
    <row r="78" spans="1:8">
      <c r="A78" s="36">
        <v>77</v>
      </c>
      <c r="B78" s="30" t="s">
        <v>23</v>
      </c>
      <c r="C78" s="6">
        <v>17</v>
      </c>
      <c r="D78" s="30">
        <v>5</v>
      </c>
      <c r="E78" s="30" t="s">
        <v>79</v>
      </c>
      <c r="F78" s="30" t="s">
        <v>59</v>
      </c>
      <c r="G78" s="30"/>
      <c r="H78" s="123"/>
    </row>
    <row r="79" spans="1:8" ht="15" thickBot="1">
      <c r="A79" s="38">
        <v>78</v>
      </c>
      <c r="B79" s="31" t="s">
        <v>23</v>
      </c>
      <c r="C79" s="31">
        <v>18</v>
      </c>
      <c r="D79" s="31">
        <v>6</v>
      </c>
      <c r="E79" s="31" t="s">
        <v>191</v>
      </c>
      <c r="F79" s="31" t="s">
        <v>147</v>
      </c>
      <c r="G79" s="31"/>
      <c r="H79" s="122"/>
    </row>
    <row r="80" spans="1:8">
      <c r="A80" s="56">
        <v>80</v>
      </c>
      <c r="B80" s="57" t="s">
        <v>24</v>
      </c>
      <c r="C80" s="43">
        <v>1</v>
      </c>
      <c r="D80" s="57">
        <v>8</v>
      </c>
      <c r="E80" s="57" t="s">
        <v>148</v>
      </c>
      <c r="F80" s="57" t="s">
        <v>13</v>
      </c>
      <c r="G80" s="57" t="s">
        <v>63</v>
      </c>
      <c r="H80" s="124" t="s">
        <v>220</v>
      </c>
    </row>
    <row r="81" spans="1:8">
      <c r="A81" s="36">
        <v>81</v>
      </c>
      <c r="B81" s="30" t="s">
        <v>24</v>
      </c>
      <c r="C81" s="30">
        <v>2</v>
      </c>
      <c r="D81" s="30">
        <v>8</v>
      </c>
      <c r="E81" s="30" t="s">
        <v>79</v>
      </c>
      <c r="F81" s="30" t="s">
        <v>51</v>
      </c>
      <c r="G81" s="30"/>
      <c r="H81" s="123"/>
    </row>
    <row r="82" spans="1:8">
      <c r="A82" s="36">
        <v>82</v>
      </c>
      <c r="B82" s="30" t="s">
        <v>24</v>
      </c>
      <c r="C82" s="6">
        <v>3</v>
      </c>
      <c r="D82" s="30">
        <v>7</v>
      </c>
      <c r="E82" s="30" t="s">
        <v>128</v>
      </c>
      <c r="F82" s="30" t="s">
        <v>149</v>
      </c>
      <c r="G82" s="30" t="s">
        <v>63</v>
      </c>
      <c r="H82" s="123" t="s">
        <v>219</v>
      </c>
    </row>
    <row r="83" spans="1:8">
      <c r="A83" s="36">
        <v>83</v>
      </c>
      <c r="B83" s="30" t="s">
        <v>24</v>
      </c>
      <c r="C83" s="6">
        <v>4</v>
      </c>
      <c r="D83" s="30">
        <v>7</v>
      </c>
      <c r="E83" s="30" t="s">
        <v>100</v>
      </c>
      <c r="F83" s="30" t="s">
        <v>150</v>
      </c>
      <c r="G83" s="30" t="s">
        <v>63</v>
      </c>
      <c r="H83" s="123" t="s">
        <v>219</v>
      </c>
    </row>
    <row r="84" spans="1:8">
      <c r="A84" s="36">
        <v>84</v>
      </c>
      <c r="B84" s="30" t="s">
        <v>24</v>
      </c>
      <c r="C84" s="30">
        <v>5</v>
      </c>
      <c r="D84" s="30">
        <v>7</v>
      </c>
      <c r="E84" s="30" t="s">
        <v>151</v>
      </c>
      <c r="F84" s="30" t="s">
        <v>152</v>
      </c>
      <c r="G84" s="30" t="s">
        <v>63</v>
      </c>
      <c r="H84" s="123" t="s">
        <v>219</v>
      </c>
    </row>
    <row r="85" spans="1:8">
      <c r="A85" s="36">
        <v>85</v>
      </c>
      <c r="B85" s="30" t="s">
        <v>24</v>
      </c>
      <c r="C85" s="6">
        <v>6</v>
      </c>
      <c r="D85" s="30">
        <v>8</v>
      </c>
      <c r="E85" s="6" t="s">
        <v>176</v>
      </c>
      <c r="F85" s="6" t="s">
        <v>153</v>
      </c>
      <c r="G85" s="30"/>
      <c r="H85" s="123"/>
    </row>
    <row r="86" spans="1:8">
      <c r="A86" s="36">
        <v>86</v>
      </c>
      <c r="B86" s="30" t="s">
        <v>24</v>
      </c>
      <c r="C86" s="6">
        <v>7</v>
      </c>
      <c r="D86" s="30">
        <v>7</v>
      </c>
      <c r="E86" s="30" t="s">
        <v>154</v>
      </c>
      <c r="F86" s="30" t="s">
        <v>155</v>
      </c>
      <c r="G86" s="6"/>
      <c r="H86" s="123"/>
    </row>
    <row r="87" spans="1:8">
      <c r="A87" s="36">
        <v>87</v>
      </c>
      <c r="B87" s="30" t="s">
        <v>24</v>
      </c>
      <c r="C87" s="30">
        <v>8</v>
      </c>
      <c r="D87" s="30">
        <v>8</v>
      </c>
      <c r="E87" s="30" t="s">
        <v>65</v>
      </c>
      <c r="F87" s="30" t="s">
        <v>39</v>
      </c>
      <c r="G87" s="30"/>
      <c r="H87" s="123"/>
    </row>
    <row r="88" spans="1:8">
      <c r="A88" s="36">
        <v>88</v>
      </c>
      <c r="B88" s="30" t="s">
        <v>24</v>
      </c>
      <c r="C88" s="6">
        <v>9</v>
      </c>
      <c r="D88" s="30">
        <v>8</v>
      </c>
      <c r="E88" s="30" t="s">
        <v>0</v>
      </c>
      <c r="F88" s="30" t="s">
        <v>119</v>
      </c>
      <c r="G88" s="30"/>
      <c r="H88" s="123"/>
    </row>
    <row r="89" spans="1:8">
      <c r="A89" s="36">
        <v>89</v>
      </c>
      <c r="B89" s="30" t="s">
        <v>24</v>
      </c>
      <c r="C89" s="6">
        <v>10</v>
      </c>
      <c r="D89" s="30">
        <v>7</v>
      </c>
      <c r="E89" s="30" t="s">
        <v>82</v>
      </c>
      <c r="F89" s="30" t="s">
        <v>156</v>
      </c>
      <c r="G89" s="30"/>
      <c r="H89" s="123"/>
    </row>
    <row r="90" spans="1:8">
      <c r="A90" s="36">
        <v>90</v>
      </c>
      <c r="B90" s="30" t="s">
        <v>24</v>
      </c>
      <c r="C90" s="30">
        <v>11</v>
      </c>
      <c r="D90" s="30">
        <v>8</v>
      </c>
      <c r="E90" s="30" t="s">
        <v>81</v>
      </c>
      <c r="F90" s="30" t="s">
        <v>157</v>
      </c>
      <c r="G90" s="30"/>
      <c r="H90" s="123"/>
    </row>
    <row r="91" spans="1:8">
      <c r="A91" s="36">
        <v>91</v>
      </c>
      <c r="B91" s="30" t="s">
        <v>24</v>
      </c>
      <c r="C91" s="6">
        <v>12</v>
      </c>
      <c r="D91" s="30">
        <v>7</v>
      </c>
      <c r="E91" s="30" t="s">
        <v>14</v>
      </c>
      <c r="F91" s="30" t="s">
        <v>158</v>
      </c>
      <c r="G91" s="30"/>
      <c r="H91" s="123"/>
    </row>
    <row r="92" spans="1:8">
      <c r="A92" s="36">
        <v>92</v>
      </c>
      <c r="B92" s="30" t="s">
        <v>24</v>
      </c>
      <c r="C92" s="30">
        <v>13</v>
      </c>
      <c r="D92" s="30">
        <v>8</v>
      </c>
      <c r="E92" s="30" t="s">
        <v>15</v>
      </c>
      <c r="F92" s="30" t="s">
        <v>160</v>
      </c>
      <c r="G92" s="30"/>
      <c r="H92" s="123"/>
    </row>
    <row r="93" spans="1:8">
      <c r="A93" s="36">
        <v>93</v>
      </c>
      <c r="B93" s="30" t="s">
        <v>24</v>
      </c>
      <c r="C93" s="6">
        <v>14</v>
      </c>
      <c r="D93" s="30">
        <v>7</v>
      </c>
      <c r="E93" s="30" t="s">
        <v>14</v>
      </c>
      <c r="F93" s="30" t="s">
        <v>161</v>
      </c>
      <c r="G93" s="30"/>
      <c r="H93" s="123"/>
    </row>
    <row r="94" spans="1:8">
      <c r="A94" s="36">
        <v>94</v>
      </c>
      <c r="B94" s="30" t="s">
        <v>24</v>
      </c>
      <c r="C94" s="6">
        <v>15</v>
      </c>
      <c r="D94" s="30">
        <v>7</v>
      </c>
      <c r="E94" s="30" t="s">
        <v>9</v>
      </c>
      <c r="F94" s="30" t="s">
        <v>122</v>
      </c>
      <c r="G94" s="30"/>
      <c r="H94" s="123"/>
    </row>
    <row r="95" spans="1:8">
      <c r="A95" s="36">
        <v>95</v>
      </c>
      <c r="B95" s="30" t="s">
        <v>24</v>
      </c>
      <c r="C95" s="30">
        <v>16</v>
      </c>
      <c r="D95" s="30">
        <v>8</v>
      </c>
      <c r="E95" s="30" t="s">
        <v>18</v>
      </c>
      <c r="F95" s="30" t="s">
        <v>164</v>
      </c>
      <c r="G95" s="30"/>
      <c r="H95" s="37"/>
    </row>
    <row r="96" spans="1:8">
      <c r="A96" s="36">
        <v>96</v>
      </c>
      <c r="B96" s="30" t="s">
        <v>24</v>
      </c>
      <c r="C96" s="6">
        <v>17</v>
      </c>
      <c r="D96" s="30">
        <v>8</v>
      </c>
      <c r="E96" s="30" t="s">
        <v>80</v>
      </c>
      <c r="F96" s="30" t="s">
        <v>165</v>
      </c>
      <c r="G96" s="30"/>
      <c r="H96" s="123"/>
    </row>
    <row r="97" spans="1:8">
      <c r="A97" s="36">
        <v>97</v>
      </c>
      <c r="B97" s="30" t="s">
        <v>24</v>
      </c>
      <c r="C97" s="30">
        <v>18</v>
      </c>
      <c r="D97" s="30">
        <v>7</v>
      </c>
      <c r="E97" s="30" t="s">
        <v>65</v>
      </c>
      <c r="F97" s="30" t="s">
        <v>61</v>
      </c>
      <c r="G97" s="30" t="s">
        <v>63</v>
      </c>
      <c r="H97" s="123" t="s">
        <v>219</v>
      </c>
    </row>
    <row r="98" spans="1:8">
      <c r="A98" s="36">
        <v>98</v>
      </c>
      <c r="B98" s="30" t="s">
        <v>24</v>
      </c>
      <c r="C98" s="6">
        <v>19</v>
      </c>
      <c r="D98" s="30">
        <v>7</v>
      </c>
      <c r="E98" s="30" t="s">
        <v>193</v>
      </c>
      <c r="F98" s="30" t="s">
        <v>166</v>
      </c>
      <c r="G98" s="30" t="s">
        <v>63</v>
      </c>
      <c r="H98" s="123" t="s">
        <v>219</v>
      </c>
    </row>
    <row r="99" spans="1:8">
      <c r="A99" s="36">
        <v>99</v>
      </c>
      <c r="B99" s="30" t="s">
        <v>24</v>
      </c>
      <c r="C99" s="30">
        <v>20</v>
      </c>
      <c r="D99" s="30">
        <v>8</v>
      </c>
      <c r="E99" s="30" t="s">
        <v>11</v>
      </c>
      <c r="F99" s="30" t="s">
        <v>56</v>
      </c>
      <c r="G99" s="30"/>
      <c r="H99" s="123"/>
    </row>
    <row r="100" spans="1:8">
      <c r="A100" s="36">
        <v>100</v>
      </c>
      <c r="B100" s="30" t="s">
        <v>24</v>
      </c>
      <c r="C100" s="6">
        <v>21</v>
      </c>
      <c r="D100" s="30">
        <v>8</v>
      </c>
      <c r="E100" s="30" t="s">
        <v>19</v>
      </c>
      <c r="F100" s="30" t="s">
        <v>167</v>
      </c>
      <c r="G100" s="30"/>
      <c r="H100" s="123"/>
    </row>
    <row r="101" spans="1:8">
      <c r="A101" s="36">
        <v>101</v>
      </c>
      <c r="B101" s="30" t="s">
        <v>24</v>
      </c>
      <c r="C101" s="30">
        <v>22</v>
      </c>
      <c r="D101" s="30">
        <v>7</v>
      </c>
      <c r="E101" s="30" t="s">
        <v>18</v>
      </c>
      <c r="F101" s="30" t="s">
        <v>168</v>
      </c>
      <c r="G101" s="30" t="s">
        <v>63</v>
      </c>
      <c r="H101" s="123" t="s">
        <v>219</v>
      </c>
    </row>
    <row r="102" spans="1:8">
      <c r="A102" s="36">
        <v>102</v>
      </c>
      <c r="B102" s="30" t="s">
        <v>24</v>
      </c>
      <c r="C102" s="6">
        <v>23</v>
      </c>
      <c r="D102" s="30">
        <v>8</v>
      </c>
      <c r="E102" s="30" t="s">
        <v>65</v>
      </c>
      <c r="F102" s="6" t="s">
        <v>169</v>
      </c>
      <c r="G102" s="30"/>
      <c r="H102" s="123"/>
    </row>
    <row r="103" spans="1:8">
      <c r="A103" s="36">
        <v>103</v>
      </c>
      <c r="B103" s="30" t="s">
        <v>24</v>
      </c>
      <c r="C103" s="30">
        <v>24</v>
      </c>
      <c r="D103" s="30">
        <v>8</v>
      </c>
      <c r="E103" s="30" t="s">
        <v>40</v>
      </c>
      <c r="F103" s="30" t="s">
        <v>60</v>
      </c>
      <c r="G103" s="6"/>
      <c r="H103" s="123"/>
    </row>
    <row r="104" spans="1:8">
      <c r="A104" s="36">
        <v>104</v>
      </c>
      <c r="B104" s="30" t="s">
        <v>24</v>
      </c>
      <c r="C104" s="6">
        <v>25</v>
      </c>
      <c r="D104" s="30">
        <v>8</v>
      </c>
      <c r="E104" s="30" t="s">
        <v>0</v>
      </c>
      <c r="F104" s="30" t="s">
        <v>105</v>
      </c>
      <c r="G104" s="30"/>
      <c r="H104" s="123"/>
    </row>
    <row r="105" spans="1:8">
      <c r="A105" s="36">
        <v>105</v>
      </c>
      <c r="B105" s="30" t="s">
        <v>24</v>
      </c>
      <c r="C105" s="30">
        <v>26</v>
      </c>
      <c r="D105" s="30">
        <v>7</v>
      </c>
      <c r="E105" s="30" t="s">
        <v>177</v>
      </c>
      <c r="F105" s="30" t="s">
        <v>170</v>
      </c>
      <c r="G105" s="30" t="s">
        <v>63</v>
      </c>
      <c r="H105" s="123" t="s">
        <v>219</v>
      </c>
    </row>
    <row r="106" spans="1:8">
      <c r="A106" s="36">
        <v>106</v>
      </c>
      <c r="B106" s="30" t="s">
        <v>24</v>
      </c>
      <c r="C106" s="6">
        <v>27</v>
      </c>
      <c r="D106" s="30">
        <v>7</v>
      </c>
      <c r="E106" s="30" t="s">
        <v>192</v>
      </c>
      <c r="F106" s="30" t="s">
        <v>171</v>
      </c>
      <c r="G106" s="30" t="s">
        <v>63</v>
      </c>
      <c r="H106" s="123" t="s">
        <v>219</v>
      </c>
    </row>
    <row r="107" spans="1:8">
      <c r="A107" s="36">
        <v>107</v>
      </c>
      <c r="B107" s="30" t="s">
        <v>24</v>
      </c>
      <c r="C107" s="30">
        <v>28</v>
      </c>
      <c r="D107" s="30">
        <v>8</v>
      </c>
      <c r="E107" s="30" t="s">
        <v>68</v>
      </c>
      <c r="F107" s="30" t="s">
        <v>53</v>
      </c>
      <c r="G107" s="30"/>
      <c r="H107" s="123"/>
    </row>
    <row r="108" spans="1:8">
      <c r="A108" s="36">
        <v>108</v>
      </c>
      <c r="B108" s="30" t="s">
        <v>24</v>
      </c>
      <c r="C108" s="6">
        <v>29</v>
      </c>
      <c r="D108" s="30">
        <v>7</v>
      </c>
      <c r="E108" s="30" t="s">
        <v>48</v>
      </c>
      <c r="F108" s="30" t="s">
        <v>172</v>
      </c>
      <c r="G108" s="30"/>
      <c r="H108" s="123"/>
    </row>
    <row r="109" spans="1:8">
      <c r="A109" s="36">
        <v>109</v>
      </c>
      <c r="B109" s="30" t="s">
        <v>24</v>
      </c>
      <c r="C109" s="6">
        <v>30</v>
      </c>
      <c r="D109" s="30">
        <v>7</v>
      </c>
      <c r="E109" s="6" t="s">
        <v>162</v>
      </c>
      <c r="F109" s="6" t="s">
        <v>163</v>
      </c>
      <c r="G109" s="30" t="s">
        <v>63</v>
      </c>
      <c r="H109" s="123" t="s">
        <v>219</v>
      </c>
    </row>
    <row r="110" spans="1:8" ht="15" thickBot="1">
      <c r="A110" s="38">
        <v>110</v>
      </c>
      <c r="B110" s="31" t="s">
        <v>24</v>
      </c>
      <c r="C110" s="24">
        <v>31</v>
      </c>
      <c r="D110" s="31">
        <v>7</v>
      </c>
      <c r="E110" s="31" t="s">
        <v>0</v>
      </c>
      <c r="F110" s="31" t="s">
        <v>159</v>
      </c>
      <c r="G110" s="24"/>
      <c r="H110" s="122"/>
    </row>
    <row r="111" spans="1:8">
      <c r="D111" s="121"/>
    </row>
  </sheetData>
  <autoFilter ref="A1:H110">
    <sortState ref="A4:G138">
      <sortCondition ref="B3:B138"/>
      <sortCondition ref="C3:C138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5"/>
  <sheetViews>
    <sheetView workbookViewId="0">
      <pane xSplit="6" ySplit="2" topLeftCell="G29" activePane="bottomRight" state="frozen"/>
      <selection activeCell="I120" sqref="I120"/>
      <selection pane="topRight" activeCell="I120" sqref="I120"/>
      <selection pane="bottomLeft" activeCell="I120" sqref="I120"/>
      <selection pane="bottomRight" activeCell="A40" sqref="A40:XFD40"/>
    </sheetView>
  </sheetViews>
  <sheetFormatPr defaultColWidth="9.109375" defaultRowHeight="13.8"/>
  <cols>
    <col min="1" max="4" width="5.6640625" style="252" customWidth="1"/>
    <col min="5" max="6" width="17.6640625" style="252" customWidth="1"/>
    <col min="7" max="9" width="12.6640625" style="252" customWidth="1"/>
    <col min="10" max="10" width="5" style="252" customWidth="1"/>
    <col min="11" max="11" width="5.88671875" style="252" customWidth="1"/>
    <col min="12" max="13" width="12.6640625" style="257" customWidth="1"/>
    <col min="14" max="14" width="6.6640625" style="258" customWidth="1"/>
    <col min="15" max="15" width="11.6640625" style="258" customWidth="1"/>
    <col min="16" max="16" width="8.88671875" style="252" customWidth="1"/>
    <col min="17" max="16384" width="9.109375" style="252"/>
  </cols>
  <sheetData>
    <row r="1" spans="1:25" ht="42">
      <c r="A1" s="547" t="s">
        <v>3</v>
      </c>
      <c r="B1" s="547" t="s">
        <v>4</v>
      </c>
      <c r="C1" s="547" t="s">
        <v>6</v>
      </c>
      <c r="D1" s="547" t="s">
        <v>5</v>
      </c>
      <c r="E1" s="547" t="s">
        <v>42</v>
      </c>
      <c r="F1" s="547" t="s">
        <v>202</v>
      </c>
      <c r="G1" s="554" t="s">
        <v>200</v>
      </c>
      <c r="H1" s="548" t="s">
        <v>201</v>
      </c>
      <c r="I1" s="548" t="s">
        <v>203</v>
      </c>
      <c r="J1" s="550" t="s">
        <v>204</v>
      </c>
      <c r="K1" s="550" t="s">
        <v>205</v>
      </c>
      <c r="L1" s="253" t="s">
        <v>206</v>
      </c>
      <c r="M1" s="253" t="s">
        <v>62</v>
      </c>
      <c r="N1" s="548" t="s">
        <v>28</v>
      </c>
      <c r="O1" s="552" t="s">
        <v>207</v>
      </c>
      <c r="P1" s="254" t="s">
        <v>222</v>
      </c>
      <c r="Q1" s="255" t="s">
        <v>229</v>
      </c>
      <c r="R1" s="255" t="s">
        <v>27</v>
      </c>
      <c r="S1" s="255" t="s">
        <v>228</v>
      </c>
      <c r="T1" s="255" t="s">
        <v>25</v>
      </c>
      <c r="U1" s="255" t="s">
        <v>227</v>
      </c>
      <c r="V1" s="255" t="s">
        <v>26</v>
      </c>
      <c r="W1" s="255" t="s">
        <v>226</v>
      </c>
      <c r="X1" s="255" t="s">
        <v>225</v>
      </c>
      <c r="Y1" s="255" t="s">
        <v>224</v>
      </c>
    </row>
    <row r="2" spans="1:25" ht="18" thickBot="1">
      <c r="A2" s="547"/>
      <c r="B2" s="547"/>
      <c r="C2" s="547"/>
      <c r="D2" s="547"/>
      <c r="E2" s="547"/>
      <c r="F2" s="547"/>
      <c r="G2" s="555"/>
      <c r="H2" s="549"/>
      <c r="I2" s="549"/>
      <c r="J2" s="551"/>
      <c r="K2" s="551"/>
      <c r="L2" s="256">
        <v>25</v>
      </c>
      <c r="M2" s="256"/>
      <c r="N2" s="549"/>
      <c r="O2" s="553"/>
      <c r="P2" s="254">
        <v>1</v>
      </c>
      <c r="Q2" s="255">
        <v>5</v>
      </c>
      <c r="R2" s="255">
        <v>4</v>
      </c>
      <c r="S2" s="255">
        <v>2</v>
      </c>
      <c r="T2" s="255">
        <v>4</v>
      </c>
      <c r="U2" s="255">
        <v>1</v>
      </c>
      <c r="V2" s="255">
        <v>3</v>
      </c>
      <c r="W2" s="255">
        <v>1</v>
      </c>
      <c r="X2" s="255">
        <v>2</v>
      </c>
      <c r="Y2" s="255">
        <v>2</v>
      </c>
    </row>
    <row r="3" spans="1:25" s="273" customFormat="1" ht="17.399999999999999" customHeight="1" thickTop="1">
      <c r="A3" s="264">
        <v>3196</v>
      </c>
      <c r="B3" s="265" t="s">
        <v>21</v>
      </c>
      <c r="C3" s="265">
        <v>1</v>
      </c>
      <c r="D3" s="266">
        <v>2</v>
      </c>
      <c r="E3" s="259" t="s">
        <v>51</v>
      </c>
      <c r="F3" s="307" t="s">
        <v>66</v>
      </c>
      <c r="G3" s="317">
        <v>43390</v>
      </c>
      <c r="H3" s="267">
        <v>43389</v>
      </c>
      <c r="I3" s="267"/>
      <c r="J3" s="268">
        <v>1</v>
      </c>
      <c r="K3" s="269">
        <v>1</v>
      </c>
      <c r="L3" s="268">
        <f t="shared" ref="L3:L32" si="0">SUM(P3:Y3)</f>
        <v>20.5</v>
      </c>
      <c r="M3" s="270">
        <f t="shared" ref="M3:M32" si="1">L3/$L$2</f>
        <v>0.82</v>
      </c>
      <c r="N3" s="271">
        <v>4</v>
      </c>
      <c r="O3" s="318">
        <v>43389</v>
      </c>
      <c r="P3" s="313">
        <v>1</v>
      </c>
      <c r="Q3" s="266">
        <v>4</v>
      </c>
      <c r="R3" s="266">
        <v>2</v>
      </c>
      <c r="S3" s="266">
        <v>1</v>
      </c>
      <c r="T3" s="266">
        <v>4</v>
      </c>
      <c r="U3" s="266">
        <v>1</v>
      </c>
      <c r="V3" s="266">
        <v>3</v>
      </c>
      <c r="W3" s="266">
        <v>0.5</v>
      </c>
      <c r="X3" s="330">
        <v>2</v>
      </c>
      <c r="Y3" s="272">
        <v>2</v>
      </c>
    </row>
    <row r="4" spans="1:25" s="273" customFormat="1" ht="17.399999999999999" customHeight="1">
      <c r="A4" s="274">
        <v>3197</v>
      </c>
      <c r="B4" s="275" t="s">
        <v>21</v>
      </c>
      <c r="C4" s="275">
        <v>2</v>
      </c>
      <c r="D4" s="276">
        <v>3</v>
      </c>
      <c r="E4" s="260" t="s">
        <v>134</v>
      </c>
      <c r="F4" s="308" t="s">
        <v>14</v>
      </c>
      <c r="G4" s="319">
        <v>43390</v>
      </c>
      <c r="H4" s="277">
        <v>43381</v>
      </c>
      <c r="I4" s="277" t="s">
        <v>673</v>
      </c>
      <c r="J4" s="278">
        <v>1</v>
      </c>
      <c r="K4" s="279">
        <v>1</v>
      </c>
      <c r="L4" s="278">
        <f t="shared" si="0"/>
        <v>6</v>
      </c>
      <c r="M4" s="280">
        <f t="shared" si="1"/>
        <v>0.24</v>
      </c>
      <c r="N4" s="281">
        <v>1</v>
      </c>
      <c r="O4" s="320">
        <v>43389</v>
      </c>
      <c r="P4" s="314">
        <v>1</v>
      </c>
      <c r="Q4" s="276">
        <v>0</v>
      </c>
      <c r="R4" s="276">
        <v>0</v>
      </c>
      <c r="S4" s="276">
        <v>0</v>
      </c>
      <c r="T4" s="276">
        <v>4</v>
      </c>
      <c r="U4" s="276">
        <v>1</v>
      </c>
      <c r="V4" s="276">
        <v>0</v>
      </c>
      <c r="W4" s="276">
        <v>0</v>
      </c>
      <c r="X4" s="328">
        <v>0</v>
      </c>
      <c r="Y4" s="282"/>
    </row>
    <row r="5" spans="1:25" s="273" customFormat="1" ht="17.399999999999999" customHeight="1">
      <c r="A5" s="274">
        <v>3198</v>
      </c>
      <c r="B5" s="275" t="s">
        <v>21</v>
      </c>
      <c r="C5" s="275">
        <v>3</v>
      </c>
      <c r="D5" s="276">
        <v>1</v>
      </c>
      <c r="E5" s="260" t="s">
        <v>564</v>
      </c>
      <c r="F5" s="308" t="s">
        <v>400</v>
      </c>
      <c r="G5" s="319">
        <v>43390</v>
      </c>
      <c r="H5" s="277">
        <v>43382</v>
      </c>
      <c r="I5" s="277"/>
      <c r="J5" s="278">
        <v>1</v>
      </c>
      <c r="K5" s="279">
        <v>1</v>
      </c>
      <c r="L5" s="278">
        <f t="shared" si="0"/>
        <v>18</v>
      </c>
      <c r="M5" s="280">
        <f t="shared" si="1"/>
        <v>0.72</v>
      </c>
      <c r="N5" s="281" t="s">
        <v>30</v>
      </c>
      <c r="O5" s="320">
        <v>43389</v>
      </c>
      <c r="P5" s="314">
        <v>1</v>
      </c>
      <c r="Q5" s="276">
        <v>4</v>
      </c>
      <c r="R5" s="276">
        <v>0</v>
      </c>
      <c r="S5" s="276">
        <v>0</v>
      </c>
      <c r="T5" s="276">
        <v>4</v>
      </c>
      <c r="U5" s="276">
        <v>1</v>
      </c>
      <c r="V5" s="276">
        <v>3</v>
      </c>
      <c r="W5" s="276">
        <v>1</v>
      </c>
      <c r="X5" s="328">
        <v>2</v>
      </c>
      <c r="Y5" s="282">
        <v>2</v>
      </c>
    </row>
    <row r="6" spans="1:25" s="273" customFormat="1" ht="17.399999999999999" customHeight="1">
      <c r="A6" s="274">
        <v>3199</v>
      </c>
      <c r="B6" s="275" t="s">
        <v>21</v>
      </c>
      <c r="C6" s="275">
        <v>4</v>
      </c>
      <c r="D6" s="276">
        <v>3</v>
      </c>
      <c r="E6" s="260" t="s">
        <v>87</v>
      </c>
      <c r="F6" s="308" t="s">
        <v>176</v>
      </c>
      <c r="G6" s="319">
        <v>43390</v>
      </c>
      <c r="H6" s="277">
        <v>43387</v>
      </c>
      <c r="I6" s="277"/>
      <c r="J6" s="278">
        <v>1</v>
      </c>
      <c r="K6" s="279">
        <v>1</v>
      </c>
      <c r="L6" s="278">
        <f t="shared" si="0"/>
        <v>24</v>
      </c>
      <c r="M6" s="280">
        <f t="shared" si="1"/>
        <v>0.96</v>
      </c>
      <c r="N6" s="281">
        <v>5</v>
      </c>
      <c r="O6" s="320">
        <v>43389</v>
      </c>
      <c r="P6" s="314">
        <v>1</v>
      </c>
      <c r="Q6" s="276">
        <v>5</v>
      </c>
      <c r="R6" s="276">
        <v>3</v>
      </c>
      <c r="S6" s="276">
        <v>2</v>
      </c>
      <c r="T6" s="276">
        <v>4</v>
      </c>
      <c r="U6" s="276">
        <v>1</v>
      </c>
      <c r="V6" s="276">
        <v>3</v>
      </c>
      <c r="W6" s="276">
        <v>1</v>
      </c>
      <c r="X6" s="328">
        <v>2</v>
      </c>
      <c r="Y6" s="282">
        <v>2</v>
      </c>
    </row>
    <row r="7" spans="1:25" s="273" customFormat="1" ht="17.399999999999999" customHeight="1">
      <c r="A7" s="274">
        <v>3200</v>
      </c>
      <c r="B7" s="275" t="s">
        <v>21</v>
      </c>
      <c r="C7" s="275">
        <v>5</v>
      </c>
      <c r="D7" s="276">
        <v>1</v>
      </c>
      <c r="E7" s="260" t="s">
        <v>565</v>
      </c>
      <c r="F7" s="308" t="s">
        <v>48</v>
      </c>
      <c r="G7" s="319">
        <v>43390</v>
      </c>
      <c r="H7" s="277">
        <v>43387</v>
      </c>
      <c r="I7" s="277"/>
      <c r="J7" s="278">
        <v>1</v>
      </c>
      <c r="K7" s="279">
        <v>1</v>
      </c>
      <c r="L7" s="278">
        <f t="shared" si="0"/>
        <v>25</v>
      </c>
      <c r="M7" s="280">
        <f t="shared" si="1"/>
        <v>1</v>
      </c>
      <c r="N7" s="281">
        <v>5</v>
      </c>
      <c r="O7" s="320">
        <v>43389</v>
      </c>
      <c r="P7" s="314">
        <v>1</v>
      </c>
      <c r="Q7" s="276">
        <v>5</v>
      </c>
      <c r="R7" s="276">
        <v>4</v>
      </c>
      <c r="S7" s="276">
        <v>2</v>
      </c>
      <c r="T7" s="276">
        <v>4</v>
      </c>
      <c r="U7" s="276">
        <v>1</v>
      </c>
      <c r="V7" s="276">
        <v>3</v>
      </c>
      <c r="W7" s="276">
        <v>1</v>
      </c>
      <c r="X7" s="328">
        <v>2</v>
      </c>
      <c r="Y7" s="282">
        <v>2</v>
      </c>
    </row>
    <row r="8" spans="1:25" s="273" customFormat="1" ht="17.399999999999999" customHeight="1">
      <c r="A8" s="274">
        <v>3201</v>
      </c>
      <c r="B8" s="275" t="s">
        <v>21</v>
      </c>
      <c r="C8" s="275">
        <v>6</v>
      </c>
      <c r="D8" s="276">
        <v>1</v>
      </c>
      <c r="E8" s="260" t="s">
        <v>566</v>
      </c>
      <c r="F8" s="308" t="s">
        <v>681</v>
      </c>
      <c r="G8" s="319">
        <v>43390</v>
      </c>
      <c r="H8" s="277">
        <v>43390</v>
      </c>
      <c r="I8" s="277"/>
      <c r="J8" s="278">
        <v>1</v>
      </c>
      <c r="K8" s="279">
        <v>1</v>
      </c>
      <c r="L8" s="278">
        <f t="shared" si="0"/>
        <v>18</v>
      </c>
      <c r="M8" s="280">
        <f t="shared" si="1"/>
        <v>0.72</v>
      </c>
      <c r="N8" s="281" t="s">
        <v>30</v>
      </c>
      <c r="O8" s="320">
        <v>43392</v>
      </c>
      <c r="P8" s="314">
        <v>1</v>
      </c>
      <c r="Q8" s="276">
        <v>0</v>
      </c>
      <c r="R8" s="276">
        <v>3</v>
      </c>
      <c r="S8" s="276">
        <v>1</v>
      </c>
      <c r="T8" s="276">
        <v>4</v>
      </c>
      <c r="U8" s="276">
        <v>1</v>
      </c>
      <c r="V8" s="276">
        <v>3</v>
      </c>
      <c r="W8" s="276">
        <v>1</v>
      </c>
      <c r="X8" s="328">
        <v>2</v>
      </c>
      <c r="Y8" s="282">
        <v>2</v>
      </c>
    </row>
    <row r="9" spans="1:25" s="273" customFormat="1" ht="17.399999999999999" customHeight="1">
      <c r="A9" s="274">
        <v>3202</v>
      </c>
      <c r="B9" s="275" t="s">
        <v>21</v>
      </c>
      <c r="C9" s="275">
        <v>7</v>
      </c>
      <c r="D9" s="276">
        <v>1</v>
      </c>
      <c r="E9" s="260" t="s">
        <v>89</v>
      </c>
      <c r="F9" s="308" t="s">
        <v>567</v>
      </c>
      <c r="G9" s="319">
        <v>43390</v>
      </c>
      <c r="H9" s="277">
        <v>43388</v>
      </c>
      <c r="I9" s="277"/>
      <c r="J9" s="278">
        <v>1</v>
      </c>
      <c r="K9" s="279">
        <v>1</v>
      </c>
      <c r="L9" s="278">
        <f t="shared" si="0"/>
        <v>18</v>
      </c>
      <c r="M9" s="280">
        <f t="shared" si="1"/>
        <v>0.72</v>
      </c>
      <c r="N9" s="281" t="s">
        <v>30</v>
      </c>
      <c r="O9" s="320">
        <v>43389</v>
      </c>
      <c r="P9" s="314">
        <v>1</v>
      </c>
      <c r="Q9" s="276">
        <v>0</v>
      </c>
      <c r="R9" s="276">
        <v>3</v>
      </c>
      <c r="S9" s="276">
        <v>2</v>
      </c>
      <c r="T9" s="276">
        <v>4</v>
      </c>
      <c r="U9" s="276">
        <v>1</v>
      </c>
      <c r="V9" s="276">
        <v>3</v>
      </c>
      <c r="W9" s="276">
        <v>1</v>
      </c>
      <c r="X9" s="328">
        <v>1</v>
      </c>
      <c r="Y9" s="282">
        <v>2</v>
      </c>
    </row>
    <row r="10" spans="1:25" s="273" customFormat="1" ht="17.399999999999999" customHeight="1">
      <c r="A10" s="274">
        <v>3203</v>
      </c>
      <c r="B10" s="275" t="s">
        <v>21</v>
      </c>
      <c r="C10" s="275">
        <v>8</v>
      </c>
      <c r="D10" s="276">
        <v>3</v>
      </c>
      <c r="E10" s="260" t="s">
        <v>568</v>
      </c>
      <c r="F10" s="308" t="s">
        <v>67</v>
      </c>
      <c r="G10" s="319">
        <v>43390</v>
      </c>
      <c r="H10" s="277">
        <v>43388</v>
      </c>
      <c r="I10" s="277"/>
      <c r="J10" s="278">
        <v>1</v>
      </c>
      <c r="K10" s="279">
        <v>1</v>
      </c>
      <c r="L10" s="278">
        <f t="shared" si="0"/>
        <v>21</v>
      </c>
      <c r="M10" s="280">
        <f t="shared" si="1"/>
        <v>0.84</v>
      </c>
      <c r="N10" s="281">
        <v>4</v>
      </c>
      <c r="O10" s="320">
        <v>43389</v>
      </c>
      <c r="P10" s="314">
        <v>1</v>
      </c>
      <c r="Q10" s="276">
        <v>5</v>
      </c>
      <c r="R10" s="276">
        <v>1</v>
      </c>
      <c r="S10" s="276">
        <v>1</v>
      </c>
      <c r="T10" s="276">
        <v>4</v>
      </c>
      <c r="U10" s="276">
        <v>1</v>
      </c>
      <c r="V10" s="276">
        <v>3</v>
      </c>
      <c r="W10" s="276">
        <v>1</v>
      </c>
      <c r="X10" s="328">
        <v>2</v>
      </c>
      <c r="Y10" s="282">
        <v>2</v>
      </c>
    </row>
    <row r="11" spans="1:25" s="273" customFormat="1" ht="17.399999999999999" customHeight="1">
      <c r="A11" s="274">
        <v>3204</v>
      </c>
      <c r="B11" s="283" t="s">
        <v>21</v>
      </c>
      <c r="C11" s="283">
        <v>9</v>
      </c>
      <c r="D11" s="276">
        <v>3</v>
      </c>
      <c r="E11" s="261" t="s">
        <v>569</v>
      </c>
      <c r="F11" s="309" t="s">
        <v>189</v>
      </c>
      <c r="G11" s="319">
        <v>43390</v>
      </c>
      <c r="H11" s="277">
        <v>43390</v>
      </c>
      <c r="I11" s="277"/>
      <c r="J11" s="278">
        <v>1</v>
      </c>
      <c r="K11" s="279">
        <v>1</v>
      </c>
      <c r="L11" s="278">
        <f t="shared" si="0"/>
        <v>20</v>
      </c>
      <c r="M11" s="280">
        <f t="shared" si="1"/>
        <v>0.8</v>
      </c>
      <c r="N11" s="281">
        <v>4</v>
      </c>
      <c r="O11" s="320">
        <v>43392</v>
      </c>
      <c r="P11" s="314">
        <v>1</v>
      </c>
      <c r="Q11" s="276">
        <v>5</v>
      </c>
      <c r="R11" s="276">
        <v>1</v>
      </c>
      <c r="S11" s="276">
        <v>0</v>
      </c>
      <c r="T11" s="276">
        <v>4</v>
      </c>
      <c r="U11" s="276">
        <v>1</v>
      </c>
      <c r="V11" s="276">
        <v>3</v>
      </c>
      <c r="W11" s="276">
        <v>1</v>
      </c>
      <c r="X11" s="328">
        <v>2</v>
      </c>
      <c r="Y11" s="282">
        <v>2</v>
      </c>
    </row>
    <row r="12" spans="1:25" s="273" customFormat="1" ht="17.399999999999999" customHeight="1">
      <c r="A12" s="274">
        <v>3322</v>
      </c>
      <c r="B12" s="283" t="s">
        <v>21</v>
      </c>
      <c r="C12" s="283">
        <v>10</v>
      </c>
      <c r="D12" s="276">
        <v>2</v>
      </c>
      <c r="E12" s="261" t="s">
        <v>570</v>
      </c>
      <c r="F12" s="309" t="s">
        <v>571</v>
      </c>
      <c r="G12" s="319">
        <v>43390</v>
      </c>
      <c r="H12" s="284">
        <v>43390</v>
      </c>
      <c r="I12" s="284"/>
      <c r="J12" s="278">
        <v>1</v>
      </c>
      <c r="K12" s="279">
        <v>1</v>
      </c>
      <c r="L12" s="285">
        <f t="shared" si="0"/>
        <v>14</v>
      </c>
      <c r="M12" s="286">
        <f t="shared" si="1"/>
        <v>0.56000000000000005</v>
      </c>
      <c r="N12" s="281">
        <v>3</v>
      </c>
      <c r="O12" s="320">
        <v>43392</v>
      </c>
      <c r="P12" s="314">
        <v>1</v>
      </c>
      <c r="Q12" s="276">
        <v>0</v>
      </c>
      <c r="R12" s="276">
        <v>3</v>
      </c>
      <c r="S12" s="276">
        <v>0</v>
      </c>
      <c r="T12" s="276">
        <v>4</v>
      </c>
      <c r="U12" s="276">
        <v>1</v>
      </c>
      <c r="V12" s="276">
        <v>3</v>
      </c>
      <c r="W12" s="276">
        <v>1</v>
      </c>
      <c r="X12" s="328">
        <v>0</v>
      </c>
      <c r="Y12" s="282">
        <v>1</v>
      </c>
    </row>
    <row r="13" spans="1:25" s="273" customFormat="1" ht="17.399999999999999" customHeight="1">
      <c r="A13" s="274">
        <v>3206</v>
      </c>
      <c r="B13" s="283" t="s">
        <v>21</v>
      </c>
      <c r="C13" s="283">
        <v>11</v>
      </c>
      <c r="D13" s="276">
        <v>2</v>
      </c>
      <c r="E13" s="261" t="s">
        <v>45</v>
      </c>
      <c r="F13" s="309" t="s">
        <v>48</v>
      </c>
      <c r="G13" s="319">
        <v>43390</v>
      </c>
      <c r="H13" s="284">
        <v>43389</v>
      </c>
      <c r="I13" s="284"/>
      <c r="J13" s="278">
        <v>1</v>
      </c>
      <c r="K13" s="279">
        <v>0.35</v>
      </c>
      <c r="L13" s="285">
        <f t="shared" si="0"/>
        <v>10</v>
      </c>
      <c r="M13" s="286">
        <f t="shared" si="1"/>
        <v>0.4</v>
      </c>
      <c r="N13" s="281">
        <v>2</v>
      </c>
      <c r="O13" s="320">
        <v>43389</v>
      </c>
      <c r="P13" s="314">
        <v>1</v>
      </c>
      <c r="Q13" s="276">
        <v>0</v>
      </c>
      <c r="R13" s="276">
        <v>1</v>
      </c>
      <c r="S13" s="276">
        <v>0</v>
      </c>
      <c r="T13" s="276">
        <v>4</v>
      </c>
      <c r="U13" s="276">
        <v>1</v>
      </c>
      <c r="V13" s="276">
        <v>0</v>
      </c>
      <c r="W13" s="276">
        <v>1</v>
      </c>
      <c r="X13" s="328">
        <v>0</v>
      </c>
      <c r="Y13" s="282">
        <v>2</v>
      </c>
    </row>
    <row r="14" spans="1:25" s="273" customFormat="1" ht="17.399999999999999" customHeight="1">
      <c r="A14" s="331">
        <v>3206</v>
      </c>
      <c r="B14" s="332" t="s">
        <v>21</v>
      </c>
      <c r="C14" s="332">
        <v>11</v>
      </c>
      <c r="D14" s="333">
        <v>2</v>
      </c>
      <c r="E14" s="334" t="s">
        <v>45</v>
      </c>
      <c r="F14" s="335" t="s">
        <v>48</v>
      </c>
      <c r="G14" s="336"/>
      <c r="H14" s="337">
        <v>43447</v>
      </c>
      <c r="I14" s="337"/>
      <c r="J14" s="338">
        <v>2</v>
      </c>
      <c r="K14" s="339">
        <v>0.65</v>
      </c>
      <c r="L14" s="338">
        <f t="shared" si="0"/>
        <v>20</v>
      </c>
      <c r="M14" s="340">
        <f t="shared" si="1"/>
        <v>0.8</v>
      </c>
      <c r="N14" s="341">
        <v>4</v>
      </c>
      <c r="O14" s="342">
        <v>43447</v>
      </c>
      <c r="P14" s="343">
        <v>1</v>
      </c>
      <c r="Q14" s="333">
        <v>5</v>
      </c>
      <c r="R14" s="333">
        <v>0</v>
      </c>
      <c r="S14" s="333">
        <v>2</v>
      </c>
      <c r="T14" s="333">
        <v>4</v>
      </c>
      <c r="U14" s="333">
        <v>1</v>
      </c>
      <c r="V14" s="333">
        <v>3</v>
      </c>
      <c r="W14" s="333">
        <v>1</v>
      </c>
      <c r="X14" s="333">
        <v>2</v>
      </c>
      <c r="Y14" s="344">
        <v>1</v>
      </c>
    </row>
    <row r="15" spans="1:25" s="273" customFormat="1" ht="17.399999999999999" customHeight="1">
      <c r="A15" s="274">
        <v>3205</v>
      </c>
      <c r="B15" s="283" t="s">
        <v>21</v>
      </c>
      <c r="C15" s="283">
        <v>12</v>
      </c>
      <c r="D15" s="276">
        <v>2</v>
      </c>
      <c r="E15" s="261" t="s">
        <v>572</v>
      </c>
      <c r="F15" s="309" t="s">
        <v>684</v>
      </c>
      <c r="G15" s="319">
        <v>43390</v>
      </c>
      <c r="H15" s="277"/>
      <c r="I15" s="277" t="s">
        <v>208</v>
      </c>
      <c r="J15" s="278">
        <v>1</v>
      </c>
      <c r="K15" s="279">
        <v>1</v>
      </c>
      <c r="L15" s="278">
        <f t="shared" si="0"/>
        <v>0</v>
      </c>
      <c r="M15" s="280">
        <f t="shared" si="1"/>
        <v>0</v>
      </c>
      <c r="N15" s="281">
        <v>1</v>
      </c>
      <c r="O15" s="320">
        <v>43392</v>
      </c>
      <c r="P15" s="314"/>
      <c r="Q15" s="276"/>
      <c r="R15" s="276"/>
      <c r="S15" s="276"/>
      <c r="T15" s="276"/>
      <c r="U15" s="276"/>
      <c r="V15" s="276"/>
      <c r="W15" s="276"/>
      <c r="X15" s="328"/>
      <c r="Y15" s="282"/>
    </row>
    <row r="16" spans="1:25" s="273" customFormat="1" ht="17.399999999999999" customHeight="1">
      <c r="A16" s="274">
        <v>3207</v>
      </c>
      <c r="B16" s="275" t="s">
        <v>21</v>
      </c>
      <c r="C16" s="275">
        <v>13</v>
      </c>
      <c r="D16" s="276">
        <v>1</v>
      </c>
      <c r="E16" s="260" t="s">
        <v>573</v>
      </c>
      <c r="F16" s="308" t="s">
        <v>10</v>
      </c>
      <c r="G16" s="319">
        <v>43390</v>
      </c>
      <c r="H16" s="277"/>
      <c r="I16" s="277" t="s">
        <v>208</v>
      </c>
      <c r="J16" s="278">
        <v>1</v>
      </c>
      <c r="K16" s="279">
        <v>0.1</v>
      </c>
      <c r="L16" s="278">
        <f t="shared" si="0"/>
        <v>0</v>
      </c>
      <c r="M16" s="280">
        <f t="shared" si="1"/>
        <v>0</v>
      </c>
      <c r="N16" s="281">
        <v>1</v>
      </c>
      <c r="O16" s="320">
        <v>43392</v>
      </c>
      <c r="P16" s="314"/>
      <c r="Q16" s="276"/>
      <c r="R16" s="276"/>
      <c r="S16" s="276"/>
      <c r="T16" s="276"/>
      <c r="U16" s="276"/>
      <c r="V16" s="276"/>
      <c r="W16" s="276"/>
      <c r="X16" s="328"/>
      <c r="Y16" s="282"/>
    </row>
    <row r="17" spans="1:25" s="273" customFormat="1" ht="17.399999999999999" customHeight="1">
      <c r="A17" s="331">
        <v>3207</v>
      </c>
      <c r="B17" s="361" t="s">
        <v>21</v>
      </c>
      <c r="C17" s="361">
        <v>13</v>
      </c>
      <c r="D17" s="333">
        <v>1</v>
      </c>
      <c r="E17" s="362" t="s">
        <v>573</v>
      </c>
      <c r="F17" s="363" t="s">
        <v>10</v>
      </c>
      <c r="G17" s="336"/>
      <c r="H17" s="337">
        <v>43401</v>
      </c>
      <c r="I17" s="337"/>
      <c r="J17" s="338">
        <v>2</v>
      </c>
      <c r="K17" s="339">
        <v>0.9</v>
      </c>
      <c r="L17" s="338">
        <f t="shared" si="0"/>
        <v>20</v>
      </c>
      <c r="M17" s="340">
        <f t="shared" si="1"/>
        <v>0.8</v>
      </c>
      <c r="N17" s="341">
        <v>4</v>
      </c>
      <c r="O17" s="342">
        <v>43403</v>
      </c>
      <c r="P17" s="343">
        <v>1</v>
      </c>
      <c r="Q17" s="333">
        <v>3</v>
      </c>
      <c r="R17" s="333">
        <v>4</v>
      </c>
      <c r="S17" s="333">
        <v>2</v>
      </c>
      <c r="T17" s="333">
        <v>3</v>
      </c>
      <c r="U17" s="333">
        <v>1</v>
      </c>
      <c r="V17" s="333">
        <v>3</v>
      </c>
      <c r="W17" s="333">
        <v>1</v>
      </c>
      <c r="X17" s="333">
        <v>2</v>
      </c>
      <c r="Y17" s="344"/>
    </row>
    <row r="18" spans="1:25" s="273" customFormat="1" ht="17.399999999999999" customHeight="1">
      <c r="A18" s="274">
        <v>3208</v>
      </c>
      <c r="B18" s="283" t="s">
        <v>21</v>
      </c>
      <c r="C18" s="283">
        <v>14</v>
      </c>
      <c r="D18" s="276">
        <v>3</v>
      </c>
      <c r="E18" s="261" t="s">
        <v>574</v>
      </c>
      <c r="F18" s="309" t="s">
        <v>679</v>
      </c>
      <c r="G18" s="319">
        <v>43390</v>
      </c>
      <c r="H18" s="277">
        <v>43390</v>
      </c>
      <c r="I18" s="277"/>
      <c r="J18" s="278">
        <v>1</v>
      </c>
      <c r="K18" s="279">
        <v>1</v>
      </c>
      <c r="L18" s="278">
        <f t="shared" si="0"/>
        <v>22.5</v>
      </c>
      <c r="M18" s="280">
        <f t="shared" si="1"/>
        <v>0.9</v>
      </c>
      <c r="N18" s="281" t="s">
        <v>33</v>
      </c>
      <c r="O18" s="320">
        <v>43392</v>
      </c>
      <c r="P18" s="314">
        <v>1</v>
      </c>
      <c r="Q18" s="276">
        <v>4</v>
      </c>
      <c r="R18" s="276">
        <v>4</v>
      </c>
      <c r="S18" s="276">
        <v>2</v>
      </c>
      <c r="T18" s="276">
        <v>4</v>
      </c>
      <c r="U18" s="276">
        <v>0</v>
      </c>
      <c r="V18" s="276">
        <v>3</v>
      </c>
      <c r="W18" s="276">
        <v>0.5</v>
      </c>
      <c r="X18" s="328">
        <v>2</v>
      </c>
      <c r="Y18" s="282">
        <v>2</v>
      </c>
    </row>
    <row r="19" spans="1:25" s="273" customFormat="1" ht="17.399999999999999" customHeight="1">
      <c r="A19" s="274">
        <v>3351</v>
      </c>
      <c r="B19" s="283" t="s">
        <v>21</v>
      </c>
      <c r="C19" s="283">
        <v>15</v>
      </c>
      <c r="D19" s="276">
        <v>2</v>
      </c>
      <c r="E19" s="287" t="s">
        <v>92</v>
      </c>
      <c r="F19" s="310" t="s">
        <v>82</v>
      </c>
      <c r="G19" s="319">
        <v>43390</v>
      </c>
      <c r="H19" s="277">
        <v>43389</v>
      </c>
      <c r="I19" s="277"/>
      <c r="J19" s="278">
        <v>1</v>
      </c>
      <c r="K19" s="279">
        <v>1</v>
      </c>
      <c r="L19" s="278">
        <f t="shared" si="0"/>
        <v>19</v>
      </c>
      <c r="M19" s="280">
        <f t="shared" si="1"/>
        <v>0.76</v>
      </c>
      <c r="N19" s="281">
        <v>4</v>
      </c>
      <c r="O19" s="320">
        <v>43389</v>
      </c>
      <c r="P19" s="314">
        <v>1</v>
      </c>
      <c r="Q19" s="276">
        <v>5</v>
      </c>
      <c r="R19" s="276">
        <v>1</v>
      </c>
      <c r="S19" s="276">
        <v>1</v>
      </c>
      <c r="T19" s="276">
        <v>2</v>
      </c>
      <c r="U19" s="276">
        <v>1</v>
      </c>
      <c r="V19" s="276">
        <v>3</v>
      </c>
      <c r="W19" s="276">
        <v>1</v>
      </c>
      <c r="X19" s="328">
        <v>2</v>
      </c>
      <c r="Y19" s="282">
        <v>2</v>
      </c>
    </row>
    <row r="20" spans="1:25" s="273" customFormat="1" ht="17.399999999999999" customHeight="1">
      <c r="A20" s="274">
        <v>3209</v>
      </c>
      <c r="B20" s="283" t="s">
        <v>21</v>
      </c>
      <c r="C20" s="283">
        <v>16</v>
      </c>
      <c r="D20" s="276">
        <v>2</v>
      </c>
      <c r="E20" s="261" t="s">
        <v>575</v>
      </c>
      <c r="F20" s="309" t="s">
        <v>0</v>
      </c>
      <c r="G20" s="319">
        <v>43390</v>
      </c>
      <c r="H20" s="277">
        <v>43388</v>
      </c>
      <c r="I20" s="277"/>
      <c r="J20" s="278">
        <v>1</v>
      </c>
      <c r="K20" s="279">
        <v>1</v>
      </c>
      <c r="L20" s="278">
        <f t="shared" si="0"/>
        <v>24</v>
      </c>
      <c r="M20" s="280">
        <f t="shared" si="1"/>
        <v>0.96</v>
      </c>
      <c r="N20" s="281">
        <v>5</v>
      </c>
      <c r="O20" s="320">
        <v>43389</v>
      </c>
      <c r="P20" s="314">
        <v>1</v>
      </c>
      <c r="Q20" s="276">
        <v>5</v>
      </c>
      <c r="R20" s="276">
        <v>3</v>
      </c>
      <c r="S20" s="276">
        <v>2</v>
      </c>
      <c r="T20" s="276">
        <v>4</v>
      </c>
      <c r="U20" s="276">
        <v>1</v>
      </c>
      <c r="V20" s="276">
        <v>3</v>
      </c>
      <c r="W20" s="276">
        <v>1</v>
      </c>
      <c r="X20" s="328">
        <v>2</v>
      </c>
      <c r="Y20" s="282">
        <v>2</v>
      </c>
    </row>
    <row r="21" spans="1:25" s="273" customFormat="1" ht="17.399999999999999" customHeight="1">
      <c r="A21" s="274">
        <v>3210</v>
      </c>
      <c r="B21" s="275" t="s">
        <v>21</v>
      </c>
      <c r="C21" s="275">
        <v>17</v>
      </c>
      <c r="D21" s="276">
        <v>3</v>
      </c>
      <c r="E21" s="260" t="s">
        <v>576</v>
      </c>
      <c r="F21" s="308" t="s">
        <v>181</v>
      </c>
      <c r="G21" s="319">
        <v>43390</v>
      </c>
      <c r="H21" s="277">
        <v>43388</v>
      </c>
      <c r="I21" s="277"/>
      <c r="J21" s="278">
        <v>1</v>
      </c>
      <c r="K21" s="279">
        <v>1</v>
      </c>
      <c r="L21" s="278">
        <f t="shared" si="0"/>
        <v>25</v>
      </c>
      <c r="M21" s="280">
        <f t="shared" si="1"/>
        <v>1</v>
      </c>
      <c r="N21" s="281">
        <v>5</v>
      </c>
      <c r="O21" s="320">
        <v>43389</v>
      </c>
      <c r="P21" s="314">
        <v>1</v>
      </c>
      <c r="Q21" s="276">
        <v>5</v>
      </c>
      <c r="R21" s="276">
        <v>4</v>
      </c>
      <c r="S21" s="276">
        <v>2</v>
      </c>
      <c r="T21" s="276">
        <v>4</v>
      </c>
      <c r="U21" s="276">
        <v>1</v>
      </c>
      <c r="V21" s="276">
        <v>3</v>
      </c>
      <c r="W21" s="276">
        <v>1</v>
      </c>
      <c r="X21" s="328">
        <v>2</v>
      </c>
      <c r="Y21" s="282">
        <v>2</v>
      </c>
    </row>
    <row r="22" spans="1:25" s="273" customFormat="1" ht="17.399999999999999" customHeight="1">
      <c r="A22" s="274">
        <v>3211</v>
      </c>
      <c r="B22" s="275" t="s">
        <v>21</v>
      </c>
      <c r="C22" s="275">
        <v>18</v>
      </c>
      <c r="D22" s="276">
        <v>3</v>
      </c>
      <c r="E22" s="260" t="s">
        <v>577</v>
      </c>
      <c r="F22" s="308" t="s">
        <v>125</v>
      </c>
      <c r="G22" s="319">
        <v>43390</v>
      </c>
      <c r="H22" s="284">
        <v>43390</v>
      </c>
      <c r="I22" s="284"/>
      <c r="J22" s="278">
        <v>1</v>
      </c>
      <c r="K22" s="279">
        <v>1</v>
      </c>
      <c r="L22" s="285">
        <f t="shared" si="0"/>
        <v>11</v>
      </c>
      <c r="M22" s="286">
        <f t="shared" si="1"/>
        <v>0.44</v>
      </c>
      <c r="N22" s="281">
        <v>2</v>
      </c>
      <c r="O22" s="320">
        <v>43392</v>
      </c>
      <c r="P22" s="314">
        <v>1</v>
      </c>
      <c r="Q22" s="276">
        <v>0</v>
      </c>
      <c r="R22" s="276">
        <v>1</v>
      </c>
      <c r="S22" s="276">
        <v>0</v>
      </c>
      <c r="T22" s="276">
        <v>4</v>
      </c>
      <c r="U22" s="276">
        <v>1</v>
      </c>
      <c r="V22" s="276">
        <v>1</v>
      </c>
      <c r="W22" s="276">
        <v>1</v>
      </c>
      <c r="X22" s="328">
        <v>0</v>
      </c>
      <c r="Y22" s="282">
        <v>2</v>
      </c>
    </row>
    <row r="23" spans="1:25" s="273" customFormat="1" ht="17.399999999999999" customHeight="1">
      <c r="A23" s="274">
        <v>3212</v>
      </c>
      <c r="B23" s="283" t="s">
        <v>21</v>
      </c>
      <c r="C23" s="283">
        <v>19</v>
      </c>
      <c r="D23" s="276">
        <v>2</v>
      </c>
      <c r="E23" s="261" t="s">
        <v>672</v>
      </c>
      <c r="F23" s="309" t="s">
        <v>678</v>
      </c>
      <c r="G23" s="319">
        <v>43390</v>
      </c>
      <c r="H23" s="284">
        <v>43390</v>
      </c>
      <c r="I23" s="284"/>
      <c r="J23" s="278">
        <v>1</v>
      </c>
      <c r="K23" s="279">
        <v>1</v>
      </c>
      <c r="L23" s="285">
        <f t="shared" si="0"/>
        <v>16</v>
      </c>
      <c r="M23" s="286">
        <f t="shared" si="1"/>
        <v>0.64</v>
      </c>
      <c r="N23" s="281">
        <v>3</v>
      </c>
      <c r="O23" s="320">
        <v>43392</v>
      </c>
      <c r="P23" s="314">
        <v>1</v>
      </c>
      <c r="Q23" s="276">
        <v>4</v>
      </c>
      <c r="R23" s="276">
        <v>1</v>
      </c>
      <c r="S23" s="276">
        <v>2</v>
      </c>
      <c r="T23" s="276">
        <v>1</v>
      </c>
      <c r="U23" s="276">
        <v>0</v>
      </c>
      <c r="V23" s="276">
        <v>3</v>
      </c>
      <c r="W23" s="276">
        <v>1</v>
      </c>
      <c r="X23" s="328">
        <v>2</v>
      </c>
      <c r="Y23" s="282">
        <v>1</v>
      </c>
    </row>
    <row r="24" spans="1:25" s="273" customFormat="1" ht="17.399999999999999" customHeight="1">
      <c r="A24" s="274">
        <v>3213</v>
      </c>
      <c r="B24" s="275" t="s">
        <v>21</v>
      </c>
      <c r="C24" s="275">
        <v>20</v>
      </c>
      <c r="D24" s="276">
        <v>1</v>
      </c>
      <c r="E24" s="260" t="s">
        <v>380</v>
      </c>
      <c r="F24" s="308" t="s">
        <v>80</v>
      </c>
      <c r="G24" s="319">
        <v>43390</v>
      </c>
      <c r="H24" s="277">
        <v>43388</v>
      </c>
      <c r="I24" s="277"/>
      <c r="J24" s="278">
        <v>1</v>
      </c>
      <c r="K24" s="279">
        <v>0.1</v>
      </c>
      <c r="L24" s="278">
        <f t="shared" si="0"/>
        <v>17</v>
      </c>
      <c r="M24" s="280">
        <f t="shared" si="1"/>
        <v>0.68</v>
      </c>
      <c r="N24" s="281" t="s">
        <v>32</v>
      </c>
      <c r="O24" s="320">
        <v>43392</v>
      </c>
      <c r="P24" s="314">
        <v>1</v>
      </c>
      <c r="Q24" s="276">
        <v>5</v>
      </c>
      <c r="R24" s="276">
        <v>4</v>
      </c>
      <c r="S24" s="276">
        <v>2</v>
      </c>
      <c r="T24" s="276">
        <v>4</v>
      </c>
      <c r="U24" s="276">
        <v>1</v>
      </c>
      <c r="V24" s="276">
        <v>0</v>
      </c>
      <c r="W24" s="276">
        <v>0</v>
      </c>
      <c r="X24" s="328">
        <v>-2</v>
      </c>
      <c r="Y24" s="282">
        <v>2</v>
      </c>
    </row>
    <row r="25" spans="1:25" s="273" customFormat="1" ht="17.399999999999999" customHeight="1">
      <c r="A25" s="331">
        <v>3213</v>
      </c>
      <c r="B25" s="361" t="s">
        <v>21</v>
      </c>
      <c r="C25" s="361">
        <v>20</v>
      </c>
      <c r="D25" s="333">
        <v>1</v>
      </c>
      <c r="E25" s="362" t="s">
        <v>380</v>
      </c>
      <c r="F25" s="363" t="s">
        <v>80</v>
      </c>
      <c r="G25" s="336"/>
      <c r="H25" s="337">
        <v>43397</v>
      </c>
      <c r="I25" s="337"/>
      <c r="J25" s="338">
        <v>2</v>
      </c>
      <c r="K25" s="339">
        <v>0.9</v>
      </c>
      <c r="L25" s="338">
        <f t="shared" si="0"/>
        <v>25</v>
      </c>
      <c r="M25" s="340">
        <f t="shared" si="1"/>
        <v>1</v>
      </c>
      <c r="N25" s="341">
        <v>5</v>
      </c>
      <c r="O25" s="342">
        <v>43403</v>
      </c>
      <c r="P25" s="343">
        <v>1</v>
      </c>
      <c r="Q25" s="333">
        <v>5</v>
      </c>
      <c r="R25" s="333">
        <v>4</v>
      </c>
      <c r="S25" s="333">
        <v>2</v>
      </c>
      <c r="T25" s="333">
        <v>4</v>
      </c>
      <c r="U25" s="333">
        <v>1</v>
      </c>
      <c r="V25" s="333">
        <v>3</v>
      </c>
      <c r="W25" s="333">
        <v>1</v>
      </c>
      <c r="X25" s="333">
        <v>2</v>
      </c>
      <c r="Y25" s="344">
        <v>2</v>
      </c>
    </row>
    <row r="26" spans="1:25" s="273" customFormat="1" ht="17.399999999999999" customHeight="1">
      <c r="A26" s="274">
        <v>3214</v>
      </c>
      <c r="B26" s="275" t="s">
        <v>21</v>
      </c>
      <c r="C26" s="275">
        <v>21</v>
      </c>
      <c r="D26" s="276">
        <v>1</v>
      </c>
      <c r="E26" s="260" t="s">
        <v>122</v>
      </c>
      <c r="F26" s="308" t="s">
        <v>79</v>
      </c>
      <c r="G26" s="319">
        <v>43390</v>
      </c>
      <c r="H26" s="277">
        <v>43387</v>
      </c>
      <c r="I26" s="277"/>
      <c r="J26" s="278">
        <v>1</v>
      </c>
      <c r="K26" s="279">
        <v>1</v>
      </c>
      <c r="L26" s="278">
        <f t="shared" si="0"/>
        <v>18</v>
      </c>
      <c r="M26" s="280">
        <f t="shared" si="1"/>
        <v>0.72</v>
      </c>
      <c r="N26" s="281" t="s">
        <v>30</v>
      </c>
      <c r="O26" s="320">
        <v>43389</v>
      </c>
      <c r="P26" s="314">
        <v>1</v>
      </c>
      <c r="Q26" s="276">
        <v>4</v>
      </c>
      <c r="R26" s="276">
        <v>4</v>
      </c>
      <c r="S26" s="276">
        <v>2</v>
      </c>
      <c r="T26" s="276">
        <v>0</v>
      </c>
      <c r="U26" s="276">
        <v>1</v>
      </c>
      <c r="V26" s="276">
        <v>3</v>
      </c>
      <c r="W26" s="276">
        <v>1</v>
      </c>
      <c r="X26" s="328">
        <v>2</v>
      </c>
      <c r="Y26" s="282"/>
    </row>
    <row r="27" spans="1:25" s="273" customFormat="1" ht="17.399999999999999" customHeight="1">
      <c r="A27" s="274">
        <v>3215</v>
      </c>
      <c r="B27" s="275" t="s">
        <v>21</v>
      </c>
      <c r="C27" s="275">
        <v>22</v>
      </c>
      <c r="D27" s="276">
        <v>3</v>
      </c>
      <c r="E27" s="260" t="s">
        <v>578</v>
      </c>
      <c r="F27" s="308" t="s">
        <v>65</v>
      </c>
      <c r="G27" s="319">
        <v>43390</v>
      </c>
      <c r="H27" s="277">
        <v>43389</v>
      </c>
      <c r="I27" s="277"/>
      <c r="J27" s="278">
        <v>1</v>
      </c>
      <c r="K27" s="279">
        <v>1</v>
      </c>
      <c r="L27" s="278">
        <f t="shared" si="0"/>
        <v>24</v>
      </c>
      <c r="M27" s="280">
        <f t="shared" si="1"/>
        <v>0.96</v>
      </c>
      <c r="N27" s="281">
        <v>5</v>
      </c>
      <c r="O27" s="320">
        <v>43389</v>
      </c>
      <c r="P27" s="314">
        <v>1</v>
      </c>
      <c r="Q27" s="276">
        <v>4</v>
      </c>
      <c r="R27" s="276">
        <v>4</v>
      </c>
      <c r="S27" s="276">
        <v>2</v>
      </c>
      <c r="T27" s="276">
        <v>4</v>
      </c>
      <c r="U27" s="276">
        <v>1</v>
      </c>
      <c r="V27" s="276">
        <v>3</v>
      </c>
      <c r="W27" s="276">
        <v>1</v>
      </c>
      <c r="X27" s="328">
        <v>2</v>
      </c>
      <c r="Y27" s="282">
        <v>2</v>
      </c>
    </row>
    <row r="28" spans="1:25" s="273" customFormat="1" ht="17.399999999999999" customHeight="1">
      <c r="A28" s="274">
        <v>3216</v>
      </c>
      <c r="B28" s="275" t="s">
        <v>21</v>
      </c>
      <c r="C28" s="275">
        <v>23</v>
      </c>
      <c r="D28" s="276">
        <v>1</v>
      </c>
      <c r="E28" s="260" t="s">
        <v>579</v>
      </c>
      <c r="F28" s="308" t="s">
        <v>127</v>
      </c>
      <c r="G28" s="319">
        <v>43390</v>
      </c>
      <c r="H28" s="277">
        <v>43382</v>
      </c>
      <c r="I28" s="277"/>
      <c r="J28" s="278">
        <v>1</v>
      </c>
      <c r="K28" s="279">
        <v>1</v>
      </c>
      <c r="L28" s="278">
        <f t="shared" si="0"/>
        <v>21</v>
      </c>
      <c r="M28" s="280">
        <f t="shared" si="1"/>
        <v>0.84</v>
      </c>
      <c r="N28" s="281">
        <v>4</v>
      </c>
      <c r="O28" s="320">
        <v>43389</v>
      </c>
      <c r="P28" s="314">
        <v>1</v>
      </c>
      <c r="Q28" s="276">
        <v>4</v>
      </c>
      <c r="R28" s="276">
        <v>3</v>
      </c>
      <c r="S28" s="276">
        <v>2</v>
      </c>
      <c r="T28" s="276">
        <v>4</v>
      </c>
      <c r="U28" s="276">
        <v>0</v>
      </c>
      <c r="V28" s="276">
        <v>3</v>
      </c>
      <c r="W28" s="276">
        <v>1</v>
      </c>
      <c r="X28" s="328">
        <v>2</v>
      </c>
      <c r="Y28" s="282">
        <v>1</v>
      </c>
    </row>
    <row r="29" spans="1:25" s="273" customFormat="1" ht="17.399999999999999" customHeight="1">
      <c r="A29" s="274">
        <v>3217</v>
      </c>
      <c r="B29" s="283" t="s">
        <v>21</v>
      </c>
      <c r="C29" s="283">
        <v>24</v>
      </c>
      <c r="D29" s="276">
        <v>2</v>
      </c>
      <c r="E29" s="261" t="s">
        <v>439</v>
      </c>
      <c r="F29" s="309" t="s">
        <v>47</v>
      </c>
      <c r="G29" s="319">
        <v>43390</v>
      </c>
      <c r="H29" s="277">
        <v>43390</v>
      </c>
      <c r="I29" s="277"/>
      <c r="J29" s="278">
        <v>1</v>
      </c>
      <c r="K29" s="279">
        <v>0.33</v>
      </c>
      <c r="L29" s="278">
        <f t="shared" si="0"/>
        <v>10</v>
      </c>
      <c r="M29" s="280">
        <f t="shared" si="1"/>
        <v>0.4</v>
      </c>
      <c r="N29" s="281">
        <v>2</v>
      </c>
      <c r="O29" s="320">
        <v>43392</v>
      </c>
      <c r="P29" s="314">
        <v>1</v>
      </c>
      <c r="Q29" s="276">
        <v>0</v>
      </c>
      <c r="R29" s="276">
        <v>0</v>
      </c>
      <c r="S29" s="276">
        <v>0</v>
      </c>
      <c r="T29" s="276">
        <v>4</v>
      </c>
      <c r="U29" s="276">
        <v>1</v>
      </c>
      <c r="V29" s="276">
        <v>1</v>
      </c>
      <c r="W29" s="276">
        <v>1</v>
      </c>
      <c r="X29" s="328">
        <v>2</v>
      </c>
      <c r="Y29" s="282"/>
    </row>
    <row r="30" spans="1:25" s="273" customFormat="1" ht="17.399999999999999" customHeight="1">
      <c r="A30" s="331">
        <v>3217</v>
      </c>
      <c r="B30" s="332" t="s">
        <v>21</v>
      </c>
      <c r="C30" s="332">
        <v>24</v>
      </c>
      <c r="D30" s="333">
        <v>2</v>
      </c>
      <c r="E30" s="334" t="s">
        <v>439</v>
      </c>
      <c r="F30" s="335" t="s">
        <v>47</v>
      </c>
      <c r="G30" s="336"/>
      <c r="H30" s="337">
        <v>43459</v>
      </c>
      <c r="I30" s="538"/>
      <c r="J30" s="338">
        <v>2</v>
      </c>
      <c r="K30" s="339">
        <v>0.67</v>
      </c>
      <c r="L30" s="338">
        <f t="shared" si="0"/>
        <v>15</v>
      </c>
      <c r="M30" s="340">
        <f t="shared" si="1"/>
        <v>0.6</v>
      </c>
      <c r="N30" s="341">
        <v>3</v>
      </c>
      <c r="O30" s="342">
        <v>43460</v>
      </c>
      <c r="P30" s="343">
        <v>1</v>
      </c>
      <c r="Q30" s="333">
        <v>0</v>
      </c>
      <c r="R30" s="333">
        <v>0</v>
      </c>
      <c r="S30" s="333">
        <v>1</v>
      </c>
      <c r="T30" s="333">
        <v>4</v>
      </c>
      <c r="U30" s="333">
        <v>1</v>
      </c>
      <c r="V30" s="333">
        <v>3</v>
      </c>
      <c r="W30" s="333">
        <v>1</v>
      </c>
      <c r="X30" s="333">
        <v>2</v>
      </c>
      <c r="Y30" s="344">
        <v>2</v>
      </c>
    </row>
    <row r="31" spans="1:25" s="273" customFormat="1" ht="17.399999999999999" customHeight="1">
      <c r="A31" s="274">
        <v>3218</v>
      </c>
      <c r="B31" s="275" t="s">
        <v>21</v>
      </c>
      <c r="C31" s="275">
        <v>25</v>
      </c>
      <c r="D31" s="276">
        <v>3</v>
      </c>
      <c r="E31" s="260" t="s">
        <v>580</v>
      </c>
      <c r="F31" s="308" t="s">
        <v>11</v>
      </c>
      <c r="G31" s="319">
        <v>43390</v>
      </c>
      <c r="H31" s="277">
        <v>43390</v>
      </c>
      <c r="I31" s="277"/>
      <c r="J31" s="278">
        <v>1</v>
      </c>
      <c r="K31" s="279">
        <v>1</v>
      </c>
      <c r="L31" s="278">
        <f t="shared" si="0"/>
        <v>17</v>
      </c>
      <c r="M31" s="280">
        <f t="shared" si="1"/>
        <v>0.68</v>
      </c>
      <c r="N31" s="281" t="s">
        <v>32</v>
      </c>
      <c r="O31" s="320">
        <v>43392</v>
      </c>
      <c r="P31" s="314">
        <v>1</v>
      </c>
      <c r="Q31" s="276">
        <v>0</v>
      </c>
      <c r="R31" s="276">
        <v>1</v>
      </c>
      <c r="S31" s="276">
        <v>2</v>
      </c>
      <c r="T31" s="276">
        <v>4</v>
      </c>
      <c r="U31" s="276">
        <v>1</v>
      </c>
      <c r="V31" s="276">
        <v>3</v>
      </c>
      <c r="W31" s="276">
        <v>1</v>
      </c>
      <c r="X31" s="328">
        <v>2</v>
      </c>
      <c r="Y31" s="282">
        <v>2</v>
      </c>
    </row>
    <row r="32" spans="1:25" s="273" customFormat="1" ht="17.399999999999999" customHeight="1">
      <c r="A32" s="274">
        <v>3219</v>
      </c>
      <c r="B32" s="283" t="s">
        <v>21</v>
      </c>
      <c r="C32" s="283">
        <v>26</v>
      </c>
      <c r="D32" s="276">
        <v>3</v>
      </c>
      <c r="E32" s="261" t="s">
        <v>581</v>
      </c>
      <c r="F32" s="309" t="s">
        <v>685</v>
      </c>
      <c r="G32" s="319">
        <v>43390</v>
      </c>
      <c r="H32" s="277">
        <v>43389</v>
      </c>
      <c r="I32" s="277"/>
      <c r="J32" s="278">
        <v>1</v>
      </c>
      <c r="K32" s="279">
        <v>1</v>
      </c>
      <c r="L32" s="278">
        <f t="shared" si="0"/>
        <v>19</v>
      </c>
      <c r="M32" s="280">
        <f t="shared" si="1"/>
        <v>0.76</v>
      </c>
      <c r="N32" s="281">
        <v>4</v>
      </c>
      <c r="O32" s="320">
        <v>43389</v>
      </c>
      <c r="P32" s="314">
        <v>1</v>
      </c>
      <c r="Q32" s="276">
        <v>5</v>
      </c>
      <c r="R32" s="276">
        <v>1</v>
      </c>
      <c r="S32" s="276">
        <v>0</v>
      </c>
      <c r="T32" s="276">
        <v>4</v>
      </c>
      <c r="U32" s="276">
        <v>1</v>
      </c>
      <c r="V32" s="276">
        <v>3</v>
      </c>
      <c r="W32" s="276">
        <v>1</v>
      </c>
      <c r="X32" s="328">
        <v>2</v>
      </c>
      <c r="Y32" s="282">
        <v>1</v>
      </c>
    </row>
    <row r="33" spans="1:25" s="273" customFormat="1" ht="17.399999999999999" customHeight="1">
      <c r="A33" s="274">
        <v>3220</v>
      </c>
      <c r="B33" s="275" t="s">
        <v>21</v>
      </c>
      <c r="C33" s="275">
        <v>27</v>
      </c>
      <c r="D33" s="276">
        <v>1</v>
      </c>
      <c r="E33" s="260" t="s">
        <v>582</v>
      </c>
      <c r="F33" s="308" t="s">
        <v>593</v>
      </c>
      <c r="G33" s="319">
        <v>43390</v>
      </c>
      <c r="H33" s="277">
        <v>43382</v>
      </c>
      <c r="I33" s="277"/>
      <c r="J33" s="278">
        <v>1</v>
      </c>
      <c r="K33" s="279">
        <v>1</v>
      </c>
      <c r="L33" s="278">
        <v>12</v>
      </c>
      <c r="M33" s="280">
        <v>0.48</v>
      </c>
      <c r="N33" s="281" t="s">
        <v>35</v>
      </c>
      <c r="O33" s="320">
        <v>43389</v>
      </c>
      <c r="P33" s="314">
        <v>1</v>
      </c>
      <c r="Q33" s="276">
        <v>5</v>
      </c>
      <c r="R33" s="276">
        <v>4</v>
      </c>
      <c r="S33" s="276">
        <v>2</v>
      </c>
      <c r="T33" s="276">
        <v>4</v>
      </c>
      <c r="U33" s="276">
        <v>1</v>
      </c>
      <c r="V33" s="276">
        <v>3</v>
      </c>
      <c r="W33" s="276">
        <v>1</v>
      </c>
      <c r="X33" s="328">
        <v>2</v>
      </c>
      <c r="Y33" s="282">
        <v>2</v>
      </c>
    </row>
    <row r="34" spans="1:25" s="273" customFormat="1" ht="17.399999999999999" customHeight="1">
      <c r="A34" s="274">
        <v>3221</v>
      </c>
      <c r="B34" s="283" t="s">
        <v>21</v>
      </c>
      <c r="C34" s="283">
        <v>28</v>
      </c>
      <c r="D34" s="276">
        <v>2</v>
      </c>
      <c r="E34" s="261" t="s">
        <v>583</v>
      </c>
      <c r="F34" s="309" t="s">
        <v>127</v>
      </c>
      <c r="G34" s="319">
        <v>43390</v>
      </c>
      <c r="H34" s="277">
        <v>43390</v>
      </c>
      <c r="I34" s="277"/>
      <c r="J34" s="278">
        <v>1</v>
      </c>
      <c r="K34" s="279">
        <v>1</v>
      </c>
      <c r="L34" s="278">
        <f t="shared" ref="L34:L65" si="2">SUM(P34:Y34)</f>
        <v>17</v>
      </c>
      <c r="M34" s="280">
        <f t="shared" ref="M34:M65" si="3">L34/$L$2</f>
        <v>0.68</v>
      </c>
      <c r="N34" s="281" t="s">
        <v>32</v>
      </c>
      <c r="O34" s="320">
        <v>43392</v>
      </c>
      <c r="P34" s="314">
        <v>1</v>
      </c>
      <c r="Q34" s="276">
        <v>5</v>
      </c>
      <c r="R34" s="276">
        <v>1</v>
      </c>
      <c r="S34" s="276">
        <v>1</v>
      </c>
      <c r="T34" s="276">
        <v>0</v>
      </c>
      <c r="U34" s="276">
        <v>1</v>
      </c>
      <c r="V34" s="276">
        <v>3</v>
      </c>
      <c r="W34" s="276">
        <v>1</v>
      </c>
      <c r="X34" s="328">
        <v>2</v>
      </c>
      <c r="Y34" s="282">
        <v>2</v>
      </c>
    </row>
    <row r="35" spans="1:25" s="273" customFormat="1" ht="17.399999999999999" customHeight="1">
      <c r="A35" s="274">
        <v>3222</v>
      </c>
      <c r="B35" s="283" t="s">
        <v>21</v>
      </c>
      <c r="C35" s="283">
        <v>29</v>
      </c>
      <c r="D35" s="276">
        <v>1</v>
      </c>
      <c r="E35" s="261" t="s">
        <v>584</v>
      </c>
      <c r="F35" s="309" t="s">
        <v>12</v>
      </c>
      <c r="G35" s="319">
        <v>43390</v>
      </c>
      <c r="H35" s="277">
        <v>43390</v>
      </c>
      <c r="I35" s="277"/>
      <c r="J35" s="278">
        <v>1</v>
      </c>
      <c r="K35" s="279">
        <v>1</v>
      </c>
      <c r="L35" s="278">
        <f t="shared" si="2"/>
        <v>19.5</v>
      </c>
      <c r="M35" s="280">
        <f t="shared" si="3"/>
        <v>0.78</v>
      </c>
      <c r="N35" s="281">
        <v>4</v>
      </c>
      <c r="O35" s="320">
        <v>43392</v>
      </c>
      <c r="P35" s="314">
        <v>1</v>
      </c>
      <c r="Q35" s="276">
        <v>5</v>
      </c>
      <c r="R35" s="276">
        <v>4</v>
      </c>
      <c r="S35" s="276">
        <v>1</v>
      </c>
      <c r="T35" s="276">
        <v>2</v>
      </c>
      <c r="U35" s="276">
        <v>1</v>
      </c>
      <c r="V35" s="276">
        <v>3</v>
      </c>
      <c r="W35" s="276">
        <v>0.5</v>
      </c>
      <c r="X35" s="328">
        <v>0</v>
      </c>
      <c r="Y35" s="282">
        <v>2</v>
      </c>
    </row>
    <row r="36" spans="1:25" s="273" customFormat="1" ht="17.399999999999999" customHeight="1">
      <c r="A36" s="274">
        <v>3350</v>
      </c>
      <c r="B36" s="283" t="s">
        <v>21</v>
      </c>
      <c r="C36" s="283">
        <v>30</v>
      </c>
      <c r="D36" s="276">
        <v>2</v>
      </c>
      <c r="E36" s="287" t="s">
        <v>59</v>
      </c>
      <c r="F36" s="310" t="s">
        <v>379</v>
      </c>
      <c r="G36" s="319">
        <v>43390</v>
      </c>
      <c r="H36" s="277">
        <v>43390</v>
      </c>
      <c r="I36" s="277"/>
      <c r="J36" s="278">
        <v>1</v>
      </c>
      <c r="K36" s="279">
        <v>1</v>
      </c>
      <c r="L36" s="278">
        <f t="shared" si="2"/>
        <v>22</v>
      </c>
      <c r="M36" s="280">
        <f t="shared" si="3"/>
        <v>0.88</v>
      </c>
      <c r="N36" s="281" t="s">
        <v>34</v>
      </c>
      <c r="O36" s="320">
        <v>43392</v>
      </c>
      <c r="P36" s="314">
        <v>1</v>
      </c>
      <c r="Q36" s="276">
        <v>4</v>
      </c>
      <c r="R36" s="276">
        <v>3</v>
      </c>
      <c r="S36" s="276">
        <v>2</v>
      </c>
      <c r="T36" s="276">
        <v>4</v>
      </c>
      <c r="U36" s="276">
        <v>1</v>
      </c>
      <c r="V36" s="276">
        <v>3</v>
      </c>
      <c r="W36" s="276">
        <v>1</v>
      </c>
      <c r="X36" s="328">
        <v>2</v>
      </c>
      <c r="Y36" s="282">
        <v>1</v>
      </c>
    </row>
    <row r="37" spans="1:25" s="273" customFormat="1" ht="17.399999999999999" customHeight="1">
      <c r="A37" s="274">
        <v>3223</v>
      </c>
      <c r="B37" s="283" t="s">
        <v>21</v>
      </c>
      <c r="C37" s="283">
        <v>31</v>
      </c>
      <c r="D37" s="276">
        <v>2</v>
      </c>
      <c r="E37" s="261" t="s">
        <v>413</v>
      </c>
      <c r="F37" s="309" t="s">
        <v>9</v>
      </c>
      <c r="G37" s="319">
        <v>43390</v>
      </c>
      <c r="H37" s="277">
        <v>43390</v>
      </c>
      <c r="I37" s="277"/>
      <c r="J37" s="278">
        <v>1</v>
      </c>
      <c r="K37" s="279">
        <v>1</v>
      </c>
      <c r="L37" s="278">
        <f t="shared" si="2"/>
        <v>15</v>
      </c>
      <c r="M37" s="280">
        <f t="shared" si="3"/>
        <v>0.6</v>
      </c>
      <c r="N37" s="281">
        <v>3</v>
      </c>
      <c r="O37" s="320">
        <v>43392</v>
      </c>
      <c r="P37" s="314">
        <v>1</v>
      </c>
      <c r="Q37" s="276">
        <v>0</v>
      </c>
      <c r="R37" s="276">
        <v>1</v>
      </c>
      <c r="S37" s="276">
        <v>2</v>
      </c>
      <c r="T37" s="276">
        <v>4</v>
      </c>
      <c r="U37" s="276">
        <v>1</v>
      </c>
      <c r="V37" s="276">
        <v>3</v>
      </c>
      <c r="W37" s="276">
        <v>1</v>
      </c>
      <c r="X37" s="328">
        <v>2</v>
      </c>
      <c r="Y37" s="282"/>
    </row>
    <row r="38" spans="1:25" s="273" customFormat="1" ht="17.399999999999999" customHeight="1">
      <c r="A38" s="274">
        <v>3224</v>
      </c>
      <c r="B38" s="275" t="s">
        <v>21</v>
      </c>
      <c r="C38" s="275">
        <v>32</v>
      </c>
      <c r="D38" s="276">
        <v>1</v>
      </c>
      <c r="E38" s="260" t="s">
        <v>1</v>
      </c>
      <c r="F38" s="308" t="s">
        <v>19</v>
      </c>
      <c r="G38" s="319">
        <v>43390</v>
      </c>
      <c r="H38" s="277">
        <v>43390</v>
      </c>
      <c r="I38" s="277"/>
      <c r="J38" s="278">
        <v>1</v>
      </c>
      <c r="K38" s="279">
        <v>1</v>
      </c>
      <c r="L38" s="278">
        <f t="shared" si="2"/>
        <v>17</v>
      </c>
      <c r="M38" s="280">
        <f t="shared" si="3"/>
        <v>0.68</v>
      </c>
      <c r="N38" s="281" t="s">
        <v>32</v>
      </c>
      <c r="O38" s="320">
        <v>43392</v>
      </c>
      <c r="P38" s="314">
        <v>1</v>
      </c>
      <c r="Q38" s="276">
        <v>3</v>
      </c>
      <c r="R38" s="276">
        <v>1</v>
      </c>
      <c r="S38" s="276">
        <v>0</v>
      </c>
      <c r="T38" s="276">
        <v>4</v>
      </c>
      <c r="U38" s="276">
        <v>1</v>
      </c>
      <c r="V38" s="276">
        <v>3</v>
      </c>
      <c r="W38" s="276">
        <v>1</v>
      </c>
      <c r="X38" s="328">
        <v>2</v>
      </c>
      <c r="Y38" s="282">
        <v>1</v>
      </c>
    </row>
    <row r="39" spans="1:25" s="273" customFormat="1" ht="17.399999999999999" customHeight="1">
      <c r="A39" s="274">
        <v>3225</v>
      </c>
      <c r="B39" s="283" t="s">
        <v>21</v>
      </c>
      <c r="C39" s="283">
        <v>33</v>
      </c>
      <c r="D39" s="276">
        <v>2</v>
      </c>
      <c r="E39" s="261" t="s">
        <v>585</v>
      </c>
      <c r="F39" s="309" t="s">
        <v>186</v>
      </c>
      <c r="G39" s="319">
        <v>43390</v>
      </c>
      <c r="H39" s="277">
        <v>43389</v>
      </c>
      <c r="I39" s="277"/>
      <c r="J39" s="278">
        <v>1</v>
      </c>
      <c r="K39" s="279">
        <v>1</v>
      </c>
      <c r="L39" s="278">
        <f t="shared" si="2"/>
        <v>16.5</v>
      </c>
      <c r="M39" s="280">
        <f t="shared" si="3"/>
        <v>0.66</v>
      </c>
      <c r="N39" s="281" t="s">
        <v>32</v>
      </c>
      <c r="O39" s="320">
        <v>43392</v>
      </c>
      <c r="P39" s="314">
        <v>1</v>
      </c>
      <c r="Q39" s="276">
        <v>5</v>
      </c>
      <c r="R39" s="276">
        <v>3</v>
      </c>
      <c r="S39" s="276">
        <v>0</v>
      </c>
      <c r="T39" s="276">
        <v>4</v>
      </c>
      <c r="U39" s="276">
        <v>1</v>
      </c>
      <c r="V39" s="276">
        <v>0</v>
      </c>
      <c r="W39" s="276">
        <v>0.5</v>
      </c>
      <c r="X39" s="328">
        <v>0</v>
      </c>
      <c r="Y39" s="282">
        <v>2</v>
      </c>
    </row>
    <row r="40" spans="1:25" s="273" customFormat="1" ht="17.399999999999999" customHeight="1">
      <c r="A40" s="274">
        <v>3226</v>
      </c>
      <c r="B40" s="275" t="s">
        <v>21</v>
      </c>
      <c r="C40" s="275">
        <v>34</v>
      </c>
      <c r="D40" s="276">
        <v>1</v>
      </c>
      <c r="E40" s="260" t="s">
        <v>586</v>
      </c>
      <c r="F40" s="308" t="s">
        <v>353</v>
      </c>
      <c r="G40" s="319">
        <v>43390</v>
      </c>
      <c r="H40" s="277">
        <v>43382</v>
      </c>
      <c r="I40" s="277"/>
      <c r="J40" s="278">
        <v>1</v>
      </c>
      <c r="K40" s="279">
        <v>1</v>
      </c>
      <c r="L40" s="278">
        <f t="shared" si="2"/>
        <v>18</v>
      </c>
      <c r="M40" s="280">
        <f t="shared" si="3"/>
        <v>0.72</v>
      </c>
      <c r="N40" s="281" t="s">
        <v>30</v>
      </c>
      <c r="O40" s="320">
        <v>43389</v>
      </c>
      <c r="P40" s="314">
        <v>1</v>
      </c>
      <c r="Q40" s="276">
        <v>5</v>
      </c>
      <c r="R40" s="276">
        <v>0</v>
      </c>
      <c r="S40" s="276">
        <v>0</v>
      </c>
      <c r="T40" s="276">
        <v>4</v>
      </c>
      <c r="U40" s="276">
        <v>1</v>
      </c>
      <c r="V40" s="276">
        <v>3</v>
      </c>
      <c r="W40" s="276">
        <v>1</v>
      </c>
      <c r="X40" s="328">
        <v>2</v>
      </c>
      <c r="Y40" s="282">
        <v>1</v>
      </c>
    </row>
    <row r="41" spans="1:25" s="273" customFormat="1" ht="17.399999999999999" customHeight="1">
      <c r="A41" s="274">
        <v>3227</v>
      </c>
      <c r="B41" s="283" t="s">
        <v>21</v>
      </c>
      <c r="C41" s="283">
        <v>35</v>
      </c>
      <c r="D41" s="276">
        <v>2</v>
      </c>
      <c r="E41" s="261" t="s">
        <v>587</v>
      </c>
      <c r="F41" s="309" t="s">
        <v>40</v>
      </c>
      <c r="G41" s="319">
        <v>43390</v>
      </c>
      <c r="H41" s="277">
        <v>43390</v>
      </c>
      <c r="I41" s="277"/>
      <c r="J41" s="278">
        <v>1</v>
      </c>
      <c r="K41" s="279">
        <v>1</v>
      </c>
      <c r="L41" s="278">
        <f t="shared" si="2"/>
        <v>21</v>
      </c>
      <c r="M41" s="280">
        <f t="shared" si="3"/>
        <v>0.84</v>
      </c>
      <c r="N41" s="281">
        <v>4</v>
      </c>
      <c r="O41" s="320">
        <v>43392</v>
      </c>
      <c r="P41" s="314">
        <v>1</v>
      </c>
      <c r="Q41" s="276">
        <v>5</v>
      </c>
      <c r="R41" s="276">
        <v>1</v>
      </c>
      <c r="S41" s="276">
        <v>2</v>
      </c>
      <c r="T41" s="276">
        <v>4</v>
      </c>
      <c r="U41" s="276">
        <v>1</v>
      </c>
      <c r="V41" s="276">
        <v>3</v>
      </c>
      <c r="W41" s="276">
        <v>1</v>
      </c>
      <c r="X41" s="328">
        <v>2</v>
      </c>
      <c r="Y41" s="282">
        <v>1</v>
      </c>
    </row>
    <row r="42" spans="1:25" s="273" customFormat="1" ht="17.399999999999999" customHeight="1">
      <c r="A42" s="274">
        <v>3228</v>
      </c>
      <c r="B42" s="275" t="s">
        <v>21</v>
      </c>
      <c r="C42" s="275">
        <v>36</v>
      </c>
      <c r="D42" s="276">
        <v>1</v>
      </c>
      <c r="E42" s="260" t="s">
        <v>588</v>
      </c>
      <c r="F42" s="308" t="s">
        <v>683</v>
      </c>
      <c r="G42" s="319">
        <v>43390</v>
      </c>
      <c r="H42" s="277">
        <v>43390</v>
      </c>
      <c r="I42" s="277"/>
      <c r="J42" s="278">
        <v>1</v>
      </c>
      <c r="K42" s="279">
        <v>1</v>
      </c>
      <c r="L42" s="278">
        <f t="shared" si="2"/>
        <v>22</v>
      </c>
      <c r="M42" s="280">
        <f t="shared" si="3"/>
        <v>0.88</v>
      </c>
      <c r="N42" s="281" t="s">
        <v>34</v>
      </c>
      <c r="O42" s="320">
        <v>43392</v>
      </c>
      <c r="P42" s="314">
        <v>1</v>
      </c>
      <c r="Q42" s="276">
        <v>5</v>
      </c>
      <c r="R42" s="276">
        <v>3</v>
      </c>
      <c r="S42" s="276">
        <v>0</v>
      </c>
      <c r="T42" s="276">
        <v>4</v>
      </c>
      <c r="U42" s="276">
        <v>1</v>
      </c>
      <c r="V42" s="276">
        <v>3</v>
      </c>
      <c r="W42" s="276">
        <v>1</v>
      </c>
      <c r="X42" s="328">
        <v>2</v>
      </c>
      <c r="Y42" s="282">
        <v>2</v>
      </c>
    </row>
    <row r="43" spans="1:25" s="273" customFormat="1" ht="17.399999999999999" customHeight="1">
      <c r="A43" s="274">
        <v>3229</v>
      </c>
      <c r="B43" s="283" t="s">
        <v>21</v>
      </c>
      <c r="C43" s="283">
        <v>37</v>
      </c>
      <c r="D43" s="276">
        <v>2</v>
      </c>
      <c r="E43" s="261" t="s">
        <v>589</v>
      </c>
      <c r="F43" s="309" t="s">
        <v>679</v>
      </c>
      <c r="G43" s="319">
        <v>43390</v>
      </c>
      <c r="H43" s="277">
        <v>43390</v>
      </c>
      <c r="I43" s="277"/>
      <c r="J43" s="278">
        <v>1</v>
      </c>
      <c r="K43" s="279">
        <v>1</v>
      </c>
      <c r="L43" s="278">
        <f t="shared" si="2"/>
        <v>20</v>
      </c>
      <c r="M43" s="280">
        <f t="shared" si="3"/>
        <v>0.8</v>
      </c>
      <c r="N43" s="281">
        <v>4</v>
      </c>
      <c r="O43" s="320">
        <v>43392</v>
      </c>
      <c r="P43" s="314">
        <v>1</v>
      </c>
      <c r="Q43" s="276">
        <v>5</v>
      </c>
      <c r="R43" s="276">
        <v>1</v>
      </c>
      <c r="S43" s="276">
        <v>0</v>
      </c>
      <c r="T43" s="276">
        <v>4</v>
      </c>
      <c r="U43" s="276">
        <v>1</v>
      </c>
      <c r="V43" s="276">
        <v>3</v>
      </c>
      <c r="W43" s="276">
        <v>1</v>
      </c>
      <c r="X43" s="328">
        <v>2</v>
      </c>
      <c r="Y43" s="282">
        <v>2</v>
      </c>
    </row>
    <row r="44" spans="1:25" s="273" customFormat="1" ht="17.399999999999999" customHeight="1">
      <c r="A44" s="274">
        <v>3230</v>
      </c>
      <c r="B44" s="275" t="s">
        <v>21</v>
      </c>
      <c r="C44" s="275">
        <v>38</v>
      </c>
      <c r="D44" s="276">
        <v>3</v>
      </c>
      <c r="E44" s="260" t="s">
        <v>417</v>
      </c>
      <c r="F44" s="308" t="s">
        <v>682</v>
      </c>
      <c r="G44" s="319">
        <v>43390</v>
      </c>
      <c r="H44" s="277">
        <v>43388</v>
      </c>
      <c r="I44" s="277"/>
      <c r="J44" s="278">
        <v>1</v>
      </c>
      <c r="K44" s="279">
        <v>1</v>
      </c>
      <c r="L44" s="278">
        <f t="shared" si="2"/>
        <v>24</v>
      </c>
      <c r="M44" s="280">
        <f t="shared" si="3"/>
        <v>0.96</v>
      </c>
      <c r="N44" s="281">
        <v>5</v>
      </c>
      <c r="O44" s="320">
        <v>43389</v>
      </c>
      <c r="P44" s="314">
        <v>1</v>
      </c>
      <c r="Q44" s="276">
        <v>4</v>
      </c>
      <c r="R44" s="276">
        <v>4</v>
      </c>
      <c r="S44" s="276">
        <v>2</v>
      </c>
      <c r="T44" s="276">
        <v>4</v>
      </c>
      <c r="U44" s="276">
        <v>1</v>
      </c>
      <c r="V44" s="276">
        <v>3</v>
      </c>
      <c r="W44" s="276">
        <v>1</v>
      </c>
      <c r="X44" s="328">
        <v>2</v>
      </c>
      <c r="Y44" s="282">
        <v>2</v>
      </c>
    </row>
    <row r="45" spans="1:25" s="273" customFormat="1" ht="17.399999999999999" customHeight="1">
      <c r="A45" s="274">
        <v>3231</v>
      </c>
      <c r="B45" s="275" t="s">
        <v>21</v>
      </c>
      <c r="C45" s="275">
        <v>39</v>
      </c>
      <c r="D45" s="276">
        <v>3</v>
      </c>
      <c r="E45" s="260" t="s">
        <v>590</v>
      </c>
      <c r="F45" s="308" t="s">
        <v>686</v>
      </c>
      <c r="G45" s="319">
        <v>43390</v>
      </c>
      <c r="H45" s="277">
        <v>43387</v>
      </c>
      <c r="I45" s="277"/>
      <c r="J45" s="278">
        <v>1</v>
      </c>
      <c r="K45" s="279">
        <v>1</v>
      </c>
      <c r="L45" s="278">
        <f t="shared" si="2"/>
        <v>24</v>
      </c>
      <c r="M45" s="280">
        <f t="shared" si="3"/>
        <v>0.96</v>
      </c>
      <c r="N45" s="281">
        <v>5</v>
      </c>
      <c r="O45" s="320">
        <v>43389</v>
      </c>
      <c r="P45" s="314">
        <v>1</v>
      </c>
      <c r="Q45" s="276">
        <v>4</v>
      </c>
      <c r="R45" s="276">
        <v>4</v>
      </c>
      <c r="S45" s="276">
        <v>2</v>
      </c>
      <c r="T45" s="276">
        <v>4</v>
      </c>
      <c r="U45" s="276">
        <v>1</v>
      </c>
      <c r="V45" s="276">
        <v>3</v>
      </c>
      <c r="W45" s="276">
        <v>1</v>
      </c>
      <c r="X45" s="328">
        <v>2</v>
      </c>
      <c r="Y45" s="282">
        <v>2</v>
      </c>
    </row>
    <row r="46" spans="1:25" s="273" customFormat="1" ht="17.399999999999999" customHeight="1">
      <c r="A46" s="274">
        <v>3232</v>
      </c>
      <c r="B46" s="275" t="s">
        <v>21</v>
      </c>
      <c r="C46" s="275">
        <v>40</v>
      </c>
      <c r="D46" s="276">
        <v>1</v>
      </c>
      <c r="E46" s="260" t="s">
        <v>591</v>
      </c>
      <c r="F46" s="308" t="s">
        <v>687</v>
      </c>
      <c r="G46" s="319">
        <v>43390</v>
      </c>
      <c r="H46" s="277">
        <v>43382</v>
      </c>
      <c r="I46" s="277"/>
      <c r="J46" s="278">
        <v>1</v>
      </c>
      <c r="K46" s="279">
        <v>1</v>
      </c>
      <c r="L46" s="278">
        <f t="shared" si="2"/>
        <v>18</v>
      </c>
      <c r="M46" s="280">
        <f t="shared" si="3"/>
        <v>0.72</v>
      </c>
      <c r="N46" s="281" t="s">
        <v>30</v>
      </c>
      <c r="O46" s="320">
        <v>43389</v>
      </c>
      <c r="P46" s="314">
        <v>1</v>
      </c>
      <c r="Q46" s="276">
        <v>4</v>
      </c>
      <c r="R46" s="276">
        <v>0</v>
      </c>
      <c r="S46" s="276">
        <v>1</v>
      </c>
      <c r="T46" s="276">
        <v>4</v>
      </c>
      <c r="U46" s="276">
        <v>1</v>
      </c>
      <c r="V46" s="276">
        <v>3</v>
      </c>
      <c r="W46" s="276">
        <v>1</v>
      </c>
      <c r="X46" s="328">
        <v>2</v>
      </c>
      <c r="Y46" s="282">
        <v>1</v>
      </c>
    </row>
    <row r="47" spans="1:25" s="273" customFormat="1" ht="17.399999999999999" customHeight="1" thickBot="1">
      <c r="A47" s="288">
        <v>3233</v>
      </c>
      <c r="B47" s="289" t="s">
        <v>21</v>
      </c>
      <c r="C47" s="289">
        <v>41</v>
      </c>
      <c r="D47" s="290">
        <v>3</v>
      </c>
      <c r="E47" s="262" t="s">
        <v>592</v>
      </c>
      <c r="F47" s="311" t="s">
        <v>593</v>
      </c>
      <c r="G47" s="321">
        <v>43390</v>
      </c>
      <c r="H47" s="291">
        <v>43387</v>
      </c>
      <c r="I47" s="291"/>
      <c r="J47" s="292">
        <v>1</v>
      </c>
      <c r="K47" s="293">
        <v>1</v>
      </c>
      <c r="L47" s="292">
        <f t="shared" si="2"/>
        <v>23</v>
      </c>
      <c r="M47" s="294">
        <f t="shared" si="3"/>
        <v>0.92</v>
      </c>
      <c r="N47" s="295" t="s">
        <v>33</v>
      </c>
      <c r="O47" s="322">
        <v>43389</v>
      </c>
      <c r="P47" s="315">
        <v>1</v>
      </c>
      <c r="Q47" s="290">
        <v>5</v>
      </c>
      <c r="R47" s="290">
        <v>3</v>
      </c>
      <c r="S47" s="290">
        <v>2</v>
      </c>
      <c r="T47" s="290">
        <v>4</v>
      </c>
      <c r="U47" s="290">
        <v>1</v>
      </c>
      <c r="V47" s="290">
        <v>3</v>
      </c>
      <c r="W47" s="290">
        <v>1</v>
      </c>
      <c r="X47" s="329">
        <v>2</v>
      </c>
      <c r="Y47" s="296">
        <v>1</v>
      </c>
    </row>
    <row r="48" spans="1:25" s="273" customFormat="1" ht="17.399999999999999" customHeight="1" thickTop="1">
      <c r="A48" s="264">
        <v>3234</v>
      </c>
      <c r="B48" s="265" t="s">
        <v>22</v>
      </c>
      <c r="C48" s="265">
        <v>1</v>
      </c>
      <c r="D48" s="266">
        <v>4</v>
      </c>
      <c r="E48" s="259" t="s">
        <v>420</v>
      </c>
      <c r="F48" s="307" t="s">
        <v>594</v>
      </c>
      <c r="G48" s="317">
        <v>43390</v>
      </c>
      <c r="H48" s="267">
        <v>43383</v>
      </c>
      <c r="I48" s="267"/>
      <c r="J48" s="268">
        <v>1</v>
      </c>
      <c r="K48" s="269">
        <v>1</v>
      </c>
      <c r="L48" s="268">
        <f t="shared" si="2"/>
        <v>24</v>
      </c>
      <c r="M48" s="270">
        <f t="shared" si="3"/>
        <v>0.96</v>
      </c>
      <c r="N48" s="271">
        <v>5</v>
      </c>
      <c r="O48" s="318">
        <v>43389</v>
      </c>
      <c r="P48" s="313">
        <v>1</v>
      </c>
      <c r="Q48" s="266">
        <v>5</v>
      </c>
      <c r="R48" s="266">
        <v>4</v>
      </c>
      <c r="S48" s="266">
        <v>2</v>
      </c>
      <c r="T48" s="266">
        <v>4</v>
      </c>
      <c r="U48" s="266">
        <v>1</v>
      </c>
      <c r="V48" s="266">
        <v>2</v>
      </c>
      <c r="W48" s="266">
        <v>1</v>
      </c>
      <c r="X48" s="330">
        <v>2</v>
      </c>
      <c r="Y48" s="272">
        <v>2</v>
      </c>
    </row>
    <row r="49" spans="1:25" s="273" customFormat="1" ht="17.399999999999999" customHeight="1">
      <c r="A49" s="274">
        <v>3235</v>
      </c>
      <c r="B49" s="283" t="s">
        <v>22</v>
      </c>
      <c r="C49" s="283">
        <v>2</v>
      </c>
      <c r="D49" s="276">
        <v>5</v>
      </c>
      <c r="E49" s="261" t="s">
        <v>451</v>
      </c>
      <c r="F49" s="309" t="s">
        <v>127</v>
      </c>
      <c r="G49" s="319">
        <v>43390</v>
      </c>
      <c r="H49" s="277">
        <v>43387</v>
      </c>
      <c r="I49" s="277"/>
      <c r="J49" s="278">
        <v>1</v>
      </c>
      <c r="K49" s="279">
        <v>1</v>
      </c>
      <c r="L49" s="278">
        <f t="shared" si="2"/>
        <v>8</v>
      </c>
      <c r="M49" s="280">
        <f t="shared" si="3"/>
        <v>0.32</v>
      </c>
      <c r="N49" s="281">
        <v>1</v>
      </c>
      <c r="O49" s="320">
        <v>43389</v>
      </c>
      <c r="P49" s="314">
        <v>1</v>
      </c>
      <c r="Q49" s="276"/>
      <c r="R49" s="276"/>
      <c r="S49" s="276"/>
      <c r="T49" s="276">
        <v>1</v>
      </c>
      <c r="U49" s="276">
        <v>0</v>
      </c>
      <c r="V49" s="276">
        <v>2</v>
      </c>
      <c r="W49" s="276">
        <v>1</v>
      </c>
      <c r="X49" s="328">
        <v>2</v>
      </c>
      <c r="Y49" s="282">
        <v>1</v>
      </c>
    </row>
    <row r="50" spans="1:25" s="273" customFormat="1" ht="17.399999999999999" customHeight="1">
      <c r="A50" s="274">
        <v>3236</v>
      </c>
      <c r="B50" s="283" t="s">
        <v>22</v>
      </c>
      <c r="C50" s="283">
        <v>3</v>
      </c>
      <c r="D50" s="276">
        <v>4</v>
      </c>
      <c r="E50" s="261" t="s">
        <v>595</v>
      </c>
      <c r="F50" s="308" t="s">
        <v>19</v>
      </c>
      <c r="G50" s="319">
        <v>43390</v>
      </c>
      <c r="H50" s="277">
        <v>43387</v>
      </c>
      <c r="I50" s="277"/>
      <c r="J50" s="278">
        <v>1</v>
      </c>
      <c r="K50" s="279">
        <v>1</v>
      </c>
      <c r="L50" s="278">
        <f t="shared" si="2"/>
        <v>23</v>
      </c>
      <c r="M50" s="280">
        <f t="shared" si="3"/>
        <v>0.92</v>
      </c>
      <c r="N50" s="281" t="s">
        <v>33</v>
      </c>
      <c r="O50" s="320">
        <v>43389</v>
      </c>
      <c r="P50" s="314">
        <v>1</v>
      </c>
      <c r="Q50" s="276">
        <v>5</v>
      </c>
      <c r="R50" s="276">
        <v>3</v>
      </c>
      <c r="S50" s="276">
        <v>2</v>
      </c>
      <c r="T50" s="276">
        <v>4</v>
      </c>
      <c r="U50" s="276">
        <v>1</v>
      </c>
      <c r="V50" s="276">
        <v>2</v>
      </c>
      <c r="W50" s="276">
        <v>1</v>
      </c>
      <c r="X50" s="328">
        <v>2</v>
      </c>
      <c r="Y50" s="282">
        <v>2</v>
      </c>
    </row>
    <row r="51" spans="1:25" s="273" customFormat="1" ht="17.399999999999999" customHeight="1">
      <c r="A51" s="274">
        <v>3237</v>
      </c>
      <c r="B51" s="283" t="s">
        <v>22</v>
      </c>
      <c r="C51" s="283">
        <v>4</v>
      </c>
      <c r="D51" s="276">
        <v>5</v>
      </c>
      <c r="E51" s="261" t="s">
        <v>596</v>
      </c>
      <c r="F51" s="309" t="s">
        <v>688</v>
      </c>
      <c r="G51" s="319">
        <v>43390</v>
      </c>
      <c r="H51" s="277">
        <v>43390</v>
      </c>
      <c r="I51" s="277"/>
      <c r="J51" s="278">
        <v>1</v>
      </c>
      <c r="K51" s="279">
        <v>1</v>
      </c>
      <c r="L51" s="278">
        <f t="shared" si="2"/>
        <v>20</v>
      </c>
      <c r="M51" s="280">
        <f t="shared" si="3"/>
        <v>0.8</v>
      </c>
      <c r="N51" s="281">
        <v>4</v>
      </c>
      <c r="O51" s="320">
        <v>43392</v>
      </c>
      <c r="P51" s="314">
        <v>1</v>
      </c>
      <c r="Q51" s="276">
        <v>5</v>
      </c>
      <c r="R51" s="276">
        <v>3</v>
      </c>
      <c r="S51" s="276">
        <v>0</v>
      </c>
      <c r="T51" s="276">
        <v>4</v>
      </c>
      <c r="U51" s="276">
        <v>1</v>
      </c>
      <c r="V51" s="276">
        <v>3</v>
      </c>
      <c r="W51" s="276">
        <v>1</v>
      </c>
      <c r="X51" s="328">
        <v>2</v>
      </c>
      <c r="Y51" s="282"/>
    </row>
    <row r="52" spans="1:25" s="273" customFormat="1" ht="17.399999999999999" customHeight="1">
      <c r="A52" s="274">
        <v>3238</v>
      </c>
      <c r="B52" s="283" t="s">
        <v>22</v>
      </c>
      <c r="C52" s="283">
        <v>5</v>
      </c>
      <c r="D52" s="276">
        <v>5</v>
      </c>
      <c r="E52" s="287" t="s">
        <v>44</v>
      </c>
      <c r="F52" s="310" t="s">
        <v>0</v>
      </c>
      <c r="G52" s="319">
        <v>43390</v>
      </c>
      <c r="H52" s="277">
        <v>43389</v>
      </c>
      <c r="I52" s="277"/>
      <c r="J52" s="278">
        <v>1</v>
      </c>
      <c r="K52" s="279">
        <v>1</v>
      </c>
      <c r="L52" s="278">
        <f t="shared" si="2"/>
        <v>14</v>
      </c>
      <c r="M52" s="280">
        <f t="shared" si="3"/>
        <v>0.56000000000000005</v>
      </c>
      <c r="N52" s="281">
        <v>3</v>
      </c>
      <c r="O52" s="320">
        <v>43389</v>
      </c>
      <c r="P52" s="314">
        <v>1</v>
      </c>
      <c r="Q52" s="276">
        <v>0</v>
      </c>
      <c r="R52" s="276">
        <v>1</v>
      </c>
      <c r="S52" s="276">
        <v>2</v>
      </c>
      <c r="T52" s="276">
        <v>4</v>
      </c>
      <c r="U52" s="276">
        <v>1</v>
      </c>
      <c r="V52" s="276">
        <v>1</v>
      </c>
      <c r="W52" s="276">
        <v>1</v>
      </c>
      <c r="X52" s="328">
        <v>2</v>
      </c>
      <c r="Y52" s="282">
        <v>1</v>
      </c>
    </row>
    <row r="53" spans="1:25" s="273" customFormat="1" ht="17.399999999999999" customHeight="1">
      <c r="A53" s="274">
        <v>3239</v>
      </c>
      <c r="B53" s="283" t="s">
        <v>22</v>
      </c>
      <c r="C53" s="283">
        <v>6</v>
      </c>
      <c r="D53" s="276">
        <v>5</v>
      </c>
      <c r="E53" s="261" t="s">
        <v>45</v>
      </c>
      <c r="F53" s="309" t="s">
        <v>385</v>
      </c>
      <c r="G53" s="319">
        <v>43390</v>
      </c>
      <c r="H53" s="277">
        <v>43381</v>
      </c>
      <c r="I53" s="277"/>
      <c r="J53" s="278">
        <v>1</v>
      </c>
      <c r="K53" s="279">
        <v>1</v>
      </c>
      <c r="L53" s="278">
        <f t="shared" si="2"/>
        <v>24</v>
      </c>
      <c r="M53" s="280">
        <f t="shared" si="3"/>
        <v>0.96</v>
      </c>
      <c r="N53" s="281">
        <v>5</v>
      </c>
      <c r="O53" s="320">
        <v>43389</v>
      </c>
      <c r="P53" s="314">
        <v>1</v>
      </c>
      <c r="Q53" s="276">
        <v>5</v>
      </c>
      <c r="R53" s="276">
        <v>4</v>
      </c>
      <c r="S53" s="276">
        <v>1</v>
      </c>
      <c r="T53" s="276">
        <v>4</v>
      </c>
      <c r="U53" s="276">
        <v>1</v>
      </c>
      <c r="V53" s="276">
        <v>3</v>
      </c>
      <c r="W53" s="276">
        <v>1</v>
      </c>
      <c r="X53" s="328">
        <v>2</v>
      </c>
      <c r="Y53" s="282">
        <v>2</v>
      </c>
    </row>
    <row r="54" spans="1:25" s="273" customFormat="1" ht="17.399999999999999" customHeight="1">
      <c r="A54" s="274">
        <v>3240</v>
      </c>
      <c r="B54" s="283" t="s">
        <v>22</v>
      </c>
      <c r="C54" s="283">
        <v>7</v>
      </c>
      <c r="D54" s="276">
        <v>6</v>
      </c>
      <c r="E54" s="261" t="s">
        <v>155</v>
      </c>
      <c r="F54" s="309" t="s">
        <v>19</v>
      </c>
      <c r="G54" s="319">
        <v>43390</v>
      </c>
      <c r="H54" s="277">
        <v>43383</v>
      </c>
      <c r="I54" s="277"/>
      <c r="J54" s="278">
        <v>1</v>
      </c>
      <c r="K54" s="279">
        <v>1</v>
      </c>
      <c r="L54" s="278">
        <f t="shared" si="2"/>
        <v>18</v>
      </c>
      <c r="M54" s="280">
        <f t="shared" si="3"/>
        <v>0.72</v>
      </c>
      <c r="N54" s="281" t="s">
        <v>30</v>
      </c>
      <c r="O54" s="320">
        <v>43389</v>
      </c>
      <c r="P54" s="314">
        <v>1</v>
      </c>
      <c r="Q54" s="276">
        <v>5</v>
      </c>
      <c r="R54" s="276">
        <v>1</v>
      </c>
      <c r="S54" s="276">
        <v>0</v>
      </c>
      <c r="T54" s="276">
        <v>4</v>
      </c>
      <c r="U54" s="276">
        <v>1</v>
      </c>
      <c r="V54" s="276">
        <v>2</v>
      </c>
      <c r="W54" s="276">
        <v>1</v>
      </c>
      <c r="X54" s="328">
        <v>2</v>
      </c>
      <c r="Y54" s="282">
        <v>1</v>
      </c>
    </row>
    <row r="55" spans="1:25" s="273" customFormat="1" ht="17.399999999999999" customHeight="1">
      <c r="A55" s="274">
        <v>3241</v>
      </c>
      <c r="B55" s="283" t="s">
        <v>22</v>
      </c>
      <c r="C55" s="283">
        <v>8</v>
      </c>
      <c r="D55" s="276">
        <v>4</v>
      </c>
      <c r="E55" s="261" t="s">
        <v>426</v>
      </c>
      <c r="F55" s="309" t="s">
        <v>11</v>
      </c>
      <c r="G55" s="319">
        <v>43390</v>
      </c>
      <c r="H55" s="284">
        <v>43385</v>
      </c>
      <c r="I55" s="284"/>
      <c r="J55" s="278">
        <v>1</v>
      </c>
      <c r="K55" s="279">
        <v>1</v>
      </c>
      <c r="L55" s="285">
        <f t="shared" si="2"/>
        <v>22</v>
      </c>
      <c r="M55" s="286">
        <f t="shared" si="3"/>
        <v>0.88</v>
      </c>
      <c r="N55" s="281" t="s">
        <v>34</v>
      </c>
      <c r="O55" s="320">
        <v>43389</v>
      </c>
      <c r="P55" s="314">
        <v>1</v>
      </c>
      <c r="Q55" s="276">
        <v>5</v>
      </c>
      <c r="R55" s="276">
        <v>4</v>
      </c>
      <c r="S55" s="276">
        <v>2</v>
      </c>
      <c r="T55" s="276">
        <v>4</v>
      </c>
      <c r="U55" s="276">
        <v>1</v>
      </c>
      <c r="V55" s="276">
        <v>3</v>
      </c>
      <c r="W55" s="276">
        <v>1</v>
      </c>
      <c r="X55" s="328">
        <v>0</v>
      </c>
      <c r="Y55" s="282">
        <v>1</v>
      </c>
    </row>
    <row r="56" spans="1:25" s="273" customFormat="1" ht="17.399999999999999" customHeight="1">
      <c r="A56" s="274">
        <v>3242</v>
      </c>
      <c r="B56" s="283" t="s">
        <v>22</v>
      </c>
      <c r="C56" s="283">
        <v>9</v>
      </c>
      <c r="D56" s="276">
        <v>6</v>
      </c>
      <c r="E56" s="261" t="s">
        <v>597</v>
      </c>
      <c r="F56" s="309" t="s">
        <v>11</v>
      </c>
      <c r="G56" s="319">
        <v>43390</v>
      </c>
      <c r="H56" s="284">
        <v>43383</v>
      </c>
      <c r="I56" s="284"/>
      <c r="J56" s="278">
        <v>1</v>
      </c>
      <c r="K56" s="279">
        <v>1</v>
      </c>
      <c r="L56" s="285">
        <f t="shared" si="2"/>
        <v>20</v>
      </c>
      <c r="M56" s="286">
        <f t="shared" si="3"/>
        <v>0.8</v>
      </c>
      <c r="N56" s="281">
        <v>4</v>
      </c>
      <c r="O56" s="320">
        <v>43389</v>
      </c>
      <c r="P56" s="314">
        <v>1</v>
      </c>
      <c r="Q56" s="276">
        <v>4</v>
      </c>
      <c r="R56" s="276">
        <v>1</v>
      </c>
      <c r="S56" s="276">
        <v>1</v>
      </c>
      <c r="T56" s="276">
        <v>4</v>
      </c>
      <c r="U56" s="276">
        <v>1</v>
      </c>
      <c r="V56" s="276">
        <v>3</v>
      </c>
      <c r="W56" s="276">
        <v>1</v>
      </c>
      <c r="X56" s="328">
        <v>2</v>
      </c>
      <c r="Y56" s="282">
        <v>2</v>
      </c>
    </row>
    <row r="57" spans="1:25" s="273" customFormat="1" ht="17.399999999999999" customHeight="1">
      <c r="A57" s="274">
        <v>3243</v>
      </c>
      <c r="B57" s="283" t="s">
        <v>22</v>
      </c>
      <c r="C57" s="283">
        <v>10</v>
      </c>
      <c r="D57" s="276">
        <v>6</v>
      </c>
      <c r="E57" s="261" t="s">
        <v>598</v>
      </c>
      <c r="F57" s="309" t="s">
        <v>599</v>
      </c>
      <c r="G57" s="319">
        <v>43390</v>
      </c>
      <c r="H57" s="277">
        <v>43390</v>
      </c>
      <c r="I57" s="277"/>
      <c r="J57" s="278">
        <v>1</v>
      </c>
      <c r="K57" s="279">
        <v>1</v>
      </c>
      <c r="L57" s="278">
        <f t="shared" si="2"/>
        <v>19</v>
      </c>
      <c r="M57" s="280">
        <f t="shared" si="3"/>
        <v>0.76</v>
      </c>
      <c r="N57" s="281">
        <v>4</v>
      </c>
      <c r="O57" s="320">
        <v>43392</v>
      </c>
      <c r="P57" s="314">
        <v>1</v>
      </c>
      <c r="Q57" s="276">
        <v>4</v>
      </c>
      <c r="R57" s="276">
        <v>1</v>
      </c>
      <c r="S57" s="276">
        <v>0</v>
      </c>
      <c r="T57" s="276">
        <v>4</v>
      </c>
      <c r="U57" s="276">
        <v>1</v>
      </c>
      <c r="V57" s="276">
        <v>3</v>
      </c>
      <c r="W57" s="276">
        <v>1</v>
      </c>
      <c r="X57" s="328">
        <v>2</v>
      </c>
      <c r="Y57" s="282">
        <v>2</v>
      </c>
    </row>
    <row r="58" spans="1:25" s="273" customFormat="1" ht="17.399999999999999" customHeight="1">
      <c r="A58" s="274">
        <v>3244</v>
      </c>
      <c r="B58" s="283" t="s">
        <v>22</v>
      </c>
      <c r="C58" s="283">
        <v>11</v>
      </c>
      <c r="D58" s="276">
        <v>6</v>
      </c>
      <c r="E58" s="261" t="s">
        <v>431</v>
      </c>
      <c r="F58" s="309" t="s">
        <v>680</v>
      </c>
      <c r="G58" s="319">
        <v>43390</v>
      </c>
      <c r="H58" s="277">
        <v>43386</v>
      </c>
      <c r="I58" s="277"/>
      <c r="J58" s="278">
        <v>1</v>
      </c>
      <c r="K58" s="279">
        <v>1</v>
      </c>
      <c r="L58" s="278">
        <f t="shared" si="2"/>
        <v>23</v>
      </c>
      <c r="M58" s="280">
        <f t="shared" si="3"/>
        <v>0.92</v>
      </c>
      <c r="N58" s="281" t="s">
        <v>33</v>
      </c>
      <c r="O58" s="320">
        <v>43389</v>
      </c>
      <c r="P58" s="314">
        <v>1</v>
      </c>
      <c r="Q58" s="276">
        <v>5</v>
      </c>
      <c r="R58" s="276">
        <v>3</v>
      </c>
      <c r="S58" s="276">
        <v>2</v>
      </c>
      <c r="T58" s="276">
        <v>4</v>
      </c>
      <c r="U58" s="276">
        <v>1</v>
      </c>
      <c r="V58" s="276">
        <v>2</v>
      </c>
      <c r="W58" s="276">
        <v>1</v>
      </c>
      <c r="X58" s="328">
        <v>2</v>
      </c>
      <c r="Y58" s="282">
        <v>2</v>
      </c>
    </row>
    <row r="59" spans="1:25" s="273" customFormat="1" ht="17.399999999999999" customHeight="1">
      <c r="A59" s="274">
        <v>3246</v>
      </c>
      <c r="B59" s="283" t="s">
        <v>22</v>
      </c>
      <c r="C59" s="283">
        <v>12</v>
      </c>
      <c r="D59" s="276">
        <v>5</v>
      </c>
      <c r="E59" s="261" t="s">
        <v>600</v>
      </c>
      <c r="F59" s="309" t="s">
        <v>66</v>
      </c>
      <c r="G59" s="319">
        <v>43390</v>
      </c>
      <c r="H59" s="277">
        <v>43390</v>
      </c>
      <c r="I59" s="277"/>
      <c r="J59" s="278">
        <v>1</v>
      </c>
      <c r="K59" s="279">
        <v>1</v>
      </c>
      <c r="L59" s="278">
        <f t="shared" si="2"/>
        <v>16.5</v>
      </c>
      <c r="M59" s="280">
        <f t="shared" si="3"/>
        <v>0.66</v>
      </c>
      <c r="N59" s="281" t="s">
        <v>32</v>
      </c>
      <c r="O59" s="320">
        <v>43392</v>
      </c>
      <c r="P59" s="314">
        <v>1</v>
      </c>
      <c r="Q59" s="276">
        <v>5</v>
      </c>
      <c r="R59" s="276">
        <v>1</v>
      </c>
      <c r="S59" s="276">
        <v>0</v>
      </c>
      <c r="T59" s="276">
        <v>4</v>
      </c>
      <c r="U59" s="276">
        <v>0</v>
      </c>
      <c r="V59" s="276">
        <v>2</v>
      </c>
      <c r="W59" s="276">
        <v>0.5</v>
      </c>
      <c r="X59" s="328">
        <v>2</v>
      </c>
      <c r="Y59" s="282">
        <v>1</v>
      </c>
    </row>
    <row r="60" spans="1:25" s="273" customFormat="1" ht="17.399999999999999" customHeight="1">
      <c r="A60" s="274">
        <v>3247</v>
      </c>
      <c r="B60" s="283" t="s">
        <v>22</v>
      </c>
      <c r="C60" s="283">
        <v>13</v>
      </c>
      <c r="D60" s="276">
        <v>6</v>
      </c>
      <c r="E60" s="261" t="s">
        <v>601</v>
      </c>
      <c r="F60" s="309" t="s">
        <v>68</v>
      </c>
      <c r="G60" s="319">
        <v>43390</v>
      </c>
      <c r="H60" s="277">
        <v>43383</v>
      </c>
      <c r="I60" s="277"/>
      <c r="J60" s="278">
        <v>1</v>
      </c>
      <c r="K60" s="279">
        <v>1</v>
      </c>
      <c r="L60" s="278">
        <f t="shared" si="2"/>
        <v>21</v>
      </c>
      <c r="M60" s="280">
        <f t="shared" si="3"/>
        <v>0.84</v>
      </c>
      <c r="N60" s="281">
        <v>4</v>
      </c>
      <c r="O60" s="320">
        <v>43389</v>
      </c>
      <c r="P60" s="314">
        <v>1</v>
      </c>
      <c r="Q60" s="276">
        <v>4</v>
      </c>
      <c r="R60" s="276">
        <v>3</v>
      </c>
      <c r="S60" s="276">
        <v>1</v>
      </c>
      <c r="T60" s="276">
        <v>4</v>
      </c>
      <c r="U60" s="276">
        <v>1</v>
      </c>
      <c r="V60" s="276">
        <v>3</v>
      </c>
      <c r="W60" s="276">
        <v>1</v>
      </c>
      <c r="X60" s="328">
        <v>2</v>
      </c>
      <c r="Y60" s="282">
        <v>1</v>
      </c>
    </row>
    <row r="61" spans="1:25" s="273" customFormat="1" ht="17.399999999999999" customHeight="1">
      <c r="A61" s="274">
        <v>3248</v>
      </c>
      <c r="B61" s="283" t="s">
        <v>22</v>
      </c>
      <c r="C61" s="283">
        <v>14</v>
      </c>
      <c r="D61" s="276">
        <v>6</v>
      </c>
      <c r="E61" s="261" t="s">
        <v>602</v>
      </c>
      <c r="F61" s="309" t="s">
        <v>0</v>
      </c>
      <c r="G61" s="319">
        <v>43390</v>
      </c>
      <c r="H61" s="277">
        <v>43383</v>
      </c>
      <c r="I61" s="276"/>
      <c r="J61" s="278">
        <v>1</v>
      </c>
      <c r="K61" s="279">
        <v>1</v>
      </c>
      <c r="L61" s="278">
        <f t="shared" si="2"/>
        <v>19</v>
      </c>
      <c r="M61" s="280">
        <f t="shared" si="3"/>
        <v>0.76</v>
      </c>
      <c r="N61" s="281">
        <v>4</v>
      </c>
      <c r="O61" s="320">
        <v>43389</v>
      </c>
      <c r="P61" s="314">
        <v>1</v>
      </c>
      <c r="Q61" s="276">
        <v>5</v>
      </c>
      <c r="R61" s="276">
        <v>1</v>
      </c>
      <c r="S61" s="276">
        <v>0</v>
      </c>
      <c r="T61" s="276">
        <v>4</v>
      </c>
      <c r="U61" s="276">
        <v>0</v>
      </c>
      <c r="V61" s="276">
        <v>3</v>
      </c>
      <c r="W61" s="276">
        <v>1</v>
      </c>
      <c r="X61" s="328">
        <v>2</v>
      </c>
      <c r="Y61" s="282">
        <v>2</v>
      </c>
    </row>
    <row r="62" spans="1:25" s="273" customFormat="1" ht="17.399999999999999" customHeight="1">
      <c r="A62" s="274">
        <v>3250</v>
      </c>
      <c r="B62" s="283" t="s">
        <v>22</v>
      </c>
      <c r="C62" s="283">
        <v>15</v>
      </c>
      <c r="D62" s="276">
        <v>5</v>
      </c>
      <c r="E62" s="261" t="s">
        <v>603</v>
      </c>
      <c r="F62" s="309" t="s">
        <v>14</v>
      </c>
      <c r="G62" s="319">
        <v>43390</v>
      </c>
      <c r="H62" s="277">
        <v>43386</v>
      </c>
      <c r="I62" s="277"/>
      <c r="J62" s="278">
        <v>1</v>
      </c>
      <c r="K62" s="279">
        <v>1</v>
      </c>
      <c r="L62" s="278">
        <f t="shared" si="2"/>
        <v>23</v>
      </c>
      <c r="M62" s="280">
        <f t="shared" si="3"/>
        <v>0.92</v>
      </c>
      <c r="N62" s="281" t="s">
        <v>33</v>
      </c>
      <c r="O62" s="320">
        <v>43389</v>
      </c>
      <c r="P62" s="314">
        <v>1</v>
      </c>
      <c r="Q62" s="276">
        <v>5</v>
      </c>
      <c r="R62" s="276">
        <v>4</v>
      </c>
      <c r="S62" s="276">
        <v>1</v>
      </c>
      <c r="T62" s="276">
        <v>4</v>
      </c>
      <c r="U62" s="276">
        <v>1</v>
      </c>
      <c r="V62" s="276">
        <v>3</v>
      </c>
      <c r="W62" s="276">
        <v>1</v>
      </c>
      <c r="X62" s="328">
        <v>2</v>
      </c>
      <c r="Y62" s="282">
        <v>1</v>
      </c>
    </row>
    <row r="63" spans="1:25" s="273" customFormat="1" ht="17.399999999999999" customHeight="1">
      <c r="A63" s="274">
        <v>3251</v>
      </c>
      <c r="B63" s="283" t="s">
        <v>22</v>
      </c>
      <c r="C63" s="283">
        <v>16</v>
      </c>
      <c r="D63" s="276">
        <v>5</v>
      </c>
      <c r="E63" s="261" t="s">
        <v>604</v>
      </c>
      <c r="F63" s="309" t="s">
        <v>177</v>
      </c>
      <c r="G63" s="319">
        <v>43390</v>
      </c>
      <c r="H63" s="277">
        <v>43387</v>
      </c>
      <c r="I63" s="277"/>
      <c r="J63" s="278">
        <v>1</v>
      </c>
      <c r="K63" s="279">
        <v>1</v>
      </c>
      <c r="L63" s="278">
        <f t="shared" si="2"/>
        <v>24</v>
      </c>
      <c r="M63" s="280">
        <f t="shared" si="3"/>
        <v>0.96</v>
      </c>
      <c r="N63" s="281">
        <v>5</v>
      </c>
      <c r="O63" s="320">
        <v>43389</v>
      </c>
      <c r="P63" s="314">
        <v>1</v>
      </c>
      <c r="Q63" s="276">
        <v>5</v>
      </c>
      <c r="R63" s="276">
        <v>4</v>
      </c>
      <c r="S63" s="276">
        <v>2</v>
      </c>
      <c r="T63" s="276">
        <v>4</v>
      </c>
      <c r="U63" s="276">
        <v>1</v>
      </c>
      <c r="V63" s="276">
        <v>3</v>
      </c>
      <c r="W63" s="276">
        <v>1</v>
      </c>
      <c r="X63" s="328">
        <v>2</v>
      </c>
      <c r="Y63" s="282">
        <v>1</v>
      </c>
    </row>
    <row r="64" spans="1:25" s="273" customFormat="1" ht="17.399999999999999" customHeight="1">
      <c r="A64" s="274">
        <v>3252</v>
      </c>
      <c r="B64" s="283" t="s">
        <v>22</v>
      </c>
      <c r="C64" s="283">
        <v>17</v>
      </c>
      <c r="D64" s="276">
        <v>5</v>
      </c>
      <c r="E64" s="261" t="s">
        <v>605</v>
      </c>
      <c r="F64" s="309" t="s">
        <v>80</v>
      </c>
      <c r="G64" s="319">
        <v>43390</v>
      </c>
      <c r="H64" s="284">
        <v>43383</v>
      </c>
      <c r="I64" s="284"/>
      <c r="J64" s="278">
        <v>1</v>
      </c>
      <c r="K64" s="279">
        <v>1</v>
      </c>
      <c r="L64" s="285">
        <f t="shared" si="2"/>
        <v>25</v>
      </c>
      <c r="M64" s="286">
        <f t="shared" si="3"/>
        <v>1</v>
      </c>
      <c r="N64" s="281">
        <v>5</v>
      </c>
      <c r="O64" s="320">
        <v>43389</v>
      </c>
      <c r="P64" s="314">
        <v>1</v>
      </c>
      <c r="Q64" s="276">
        <v>5</v>
      </c>
      <c r="R64" s="276">
        <v>4</v>
      </c>
      <c r="S64" s="276">
        <v>2</v>
      </c>
      <c r="T64" s="276">
        <v>4</v>
      </c>
      <c r="U64" s="276">
        <v>1</v>
      </c>
      <c r="V64" s="276">
        <v>3</v>
      </c>
      <c r="W64" s="276">
        <v>1</v>
      </c>
      <c r="X64" s="328">
        <v>2</v>
      </c>
      <c r="Y64" s="282">
        <v>2</v>
      </c>
    </row>
    <row r="65" spans="1:25" s="273" customFormat="1" ht="17.399999999999999" customHeight="1">
      <c r="A65" s="274">
        <v>3253</v>
      </c>
      <c r="B65" s="283" t="s">
        <v>22</v>
      </c>
      <c r="C65" s="283">
        <v>18</v>
      </c>
      <c r="D65" s="276">
        <v>4</v>
      </c>
      <c r="E65" s="261" t="s">
        <v>605</v>
      </c>
      <c r="F65" s="309" t="s">
        <v>48</v>
      </c>
      <c r="G65" s="319">
        <v>43390</v>
      </c>
      <c r="H65" s="284">
        <v>43388</v>
      </c>
      <c r="I65" s="284"/>
      <c r="J65" s="278">
        <v>1</v>
      </c>
      <c r="K65" s="279">
        <v>1</v>
      </c>
      <c r="L65" s="285">
        <f t="shared" si="2"/>
        <v>23</v>
      </c>
      <c r="M65" s="286">
        <f t="shared" si="3"/>
        <v>0.92</v>
      </c>
      <c r="N65" s="281" t="s">
        <v>33</v>
      </c>
      <c r="O65" s="320">
        <v>43389</v>
      </c>
      <c r="P65" s="314">
        <v>1</v>
      </c>
      <c r="Q65" s="276">
        <v>5</v>
      </c>
      <c r="R65" s="276">
        <v>2</v>
      </c>
      <c r="S65" s="276">
        <v>2</v>
      </c>
      <c r="T65" s="276">
        <v>4</v>
      </c>
      <c r="U65" s="276">
        <v>1</v>
      </c>
      <c r="V65" s="276">
        <v>3</v>
      </c>
      <c r="W65" s="276">
        <v>1</v>
      </c>
      <c r="X65" s="328">
        <v>2</v>
      </c>
      <c r="Y65" s="282">
        <v>2</v>
      </c>
    </row>
    <row r="66" spans="1:25" s="273" customFormat="1" ht="17.399999999999999" customHeight="1">
      <c r="A66" s="274">
        <v>3254</v>
      </c>
      <c r="B66" s="283" t="s">
        <v>22</v>
      </c>
      <c r="C66" s="283">
        <v>19</v>
      </c>
      <c r="D66" s="276">
        <v>4</v>
      </c>
      <c r="E66" s="261" t="s">
        <v>605</v>
      </c>
      <c r="F66" s="309" t="s">
        <v>19</v>
      </c>
      <c r="G66" s="319">
        <v>43390</v>
      </c>
      <c r="H66" s="277">
        <v>43387</v>
      </c>
      <c r="I66" s="277"/>
      <c r="J66" s="278">
        <v>1</v>
      </c>
      <c r="K66" s="279">
        <v>1</v>
      </c>
      <c r="L66" s="278">
        <f t="shared" ref="L66:L97" si="4">SUM(P66:Y66)</f>
        <v>22</v>
      </c>
      <c r="M66" s="280">
        <f t="shared" ref="M66:M97" si="5">L66/$L$2</f>
        <v>0.88</v>
      </c>
      <c r="N66" s="281" t="s">
        <v>34</v>
      </c>
      <c r="O66" s="320">
        <v>43389</v>
      </c>
      <c r="P66" s="314">
        <v>1</v>
      </c>
      <c r="Q66" s="276">
        <v>4</v>
      </c>
      <c r="R66" s="276">
        <v>4</v>
      </c>
      <c r="S66" s="276">
        <v>2</v>
      </c>
      <c r="T66" s="276">
        <v>4</v>
      </c>
      <c r="U66" s="276">
        <v>1</v>
      </c>
      <c r="V66" s="276">
        <v>2</v>
      </c>
      <c r="W66" s="276">
        <v>1</v>
      </c>
      <c r="X66" s="328">
        <v>2</v>
      </c>
      <c r="Y66" s="282">
        <v>1</v>
      </c>
    </row>
    <row r="67" spans="1:25" s="273" customFormat="1" ht="17.399999999999999" customHeight="1">
      <c r="A67" s="274">
        <v>3255</v>
      </c>
      <c r="B67" s="283" t="s">
        <v>22</v>
      </c>
      <c r="C67" s="283">
        <v>20</v>
      </c>
      <c r="D67" s="276">
        <v>5</v>
      </c>
      <c r="E67" s="261" t="s">
        <v>164</v>
      </c>
      <c r="F67" s="309" t="s">
        <v>127</v>
      </c>
      <c r="G67" s="319">
        <v>43390</v>
      </c>
      <c r="H67" s="277">
        <v>43389</v>
      </c>
      <c r="I67" s="277"/>
      <c r="J67" s="278">
        <v>1</v>
      </c>
      <c r="K67" s="279">
        <v>1</v>
      </c>
      <c r="L67" s="278">
        <f t="shared" si="4"/>
        <v>10</v>
      </c>
      <c r="M67" s="280">
        <f t="shared" si="5"/>
        <v>0.4</v>
      </c>
      <c r="N67" s="281">
        <v>2</v>
      </c>
      <c r="O67" s="320">
        <v>43389</v>
      </c>
      <c r="P67" s="314">
        <v>1</v>
      </c>
      <c r="Q67" s="276">
        <v>0</v>
      </c>
      <c r="R67" s="276">
        <v>1</v>
      </c>
      <c r="S67" s="276">
        <v>0</v>
      </c>
      <c r="T67" s="276">
        <v>1</v>
      </c>
      <c r="U67" s="276">
        <v>0</v>
      </c>
      <c r="V67" s="276">
        <v>2</v>
      </c>
      <c r="W67" s="276">
        <v>1</v>
      </c>
      <c r="X67" s="328">
        <v>2</v>
      </c>
      <c r="Y67" s="282">
        <v>2</v>
      </c>
    </row>
    <row r="68" spans="1:25" s="273" customFormat="1" ht="17.399999999999999" customHeight="1">
      <c r="A68" s="274">
        <v>3256</v>
      </c>
      <c r="B68" s="283" t="s">
        <v>22</v>
      </c>
      <c r="C68" s="283">
        <v>21</v>
      </c>
      <c r="D68" s="276">
        <v>4</v>
      </c>
      <c r="E68" s="261" t="s">
        <v>443</v>
      </c>
      <c r="F68" s="309" t="s">
        <v>188</v>
      </c>
      <c r="G68" s="319">
        <v>43390</v>
      </c>
      <c r="H68" s="284">
        <v>43389</v>
      </c>
      <c r="I68" s="284"/>
      <c r="J68" s="278">
        <v>1</v>
      </c>
      <c r="K68" s="279">
        <v>1</v>
      </c>
      <c r="L68" s="285">
        <f t="shared" si="4"/>
        <v>25</v>
      </c>
      <c r="M68" s="286">
        <f t="shared" si="5"/>
        <v>1</v>
      </c>
      <c r="N68" s="281">
        <v>5</v>
      </c>
      <c r="O68" s="320">
        <v>43389</v>
      </c>
      <c r="P68" s="316">
        <v>1</v>
      </c>
      <c r="Q68" s="276">
        <v>5</v>
      </c>
      <c r="R68" s="276">
        <v>4</v>
      </c>
      <c r="S68" s="276">
        <v>2</v>
      </c>
      <c r="T68" s="276">
        <v>4</v>
      </c>
      <c r="U68" s="276">
        <v>1</v>
      </c>
      <c r="V68" s="276">
        <v>3</v>
      </c>
      <c r="W68" s="276">
        <v>1</v>
      </c>
      <c r="X68" s="328">
        <v>2</v>
      </c>
      <c r="Y68" s="282">
        <v>2</v>
      </c>
    </row>
    <row r="69" spans="1:25" s="273" customFormat="1" ht="17.399999999999999" customHeight="1">
      <c r="A69" s="274">
        <v>3257</v>
      </c>
      <c r="B69" s="283" t="s">
        <v>22</v>
      </c>
      <c r="C69" s="283">
        <v>22</v>
      </c>
      <c r="D69" s="276">
        <v>6</v>
      </c>
      <c r="E69" s="261" t="s">
        <v>445</v>
      </c>
      <c r="F69" s="309" t="s">
        <v>185</v>
      </c>
      <c r="G69" s="319">
        <v>43390</v>
      </c>
      <c r="H69" s="277">
        <v>43383</v>
      </c>
      <c r="I69" s="277"/>
      <c r="J69" s="278">
        <v>1</v>
      </c>
      <c r="K69" s="279">
        <v>1</v>
      </c>
      <c r="L69" s="278">
        <f t="shared" si="4"/>
        <v>19</v>
      </c>
      <c r="M69" s="280">
        <f t="shared" si="5"/>
        <v>0.76</v>
      </c>
      <c r="N69" s="281">
        <v>4</v>
      </c>
      <c r="O69" s="320">
        <v>43389</v>
      </c>
      <c r="P69" s="314">
        <v>1</v>
      </c>
      <c r="Q69" s="276">
        <v>5</v>
      </c>
      <c r="R69" s="276">
        <v>1</v>
      </c>
      <c r="S69" s="276">
        <v>0</v>
      </c>
      <c r="T69" s="276">
        <v>4</v>
      </c>
      <c r="U69" s="276">
        <v>1</v>
      </c>
      <c r="V69" s="276">
        <v>2</v>
      </c>
      <c r="W69" s="276">
        <v>1</v>
      </c>
      <c r="X69" s="328">
        <v>2</v>
      </c>
      <c r="Y69" s="282">
        <v>2</v>
      </c>
    </row>
    <row r="70" spans="1:25" s="273" customFormat="1" ht="17.399999999999999" customHeight="1">
      <c r="A70" s="274">
        <v>3259</v>
      </c>
      <c r="B70" s="283" t="s">
        <v>22</v>
      </c>
      <c r="C70" s="283">
        <v>23</v>
      </c>
      <c r="D70" s="276">
        <v>5</v>
      </c>
      <c r="E70" s="261" t="s">
        <v>1</v>
      </c>
      <c r="F70" s="309" t="s">
        <v>385</v>
      </c>
      <c r="G70" s="319">
        <v>43390</v>
      </c>
      <c r="H70" s="284">
        <v>43387</v>
      </c>
      <c r="I70" s="284"/>
      <c r="J70" s="278">
        <v>1</v>
      </c>
      <c r="K70" s="279">
        <v>1</v>
      </c>
      <c r="L70" s="285">
        <f t="shared" si="4"/>
        <v>20</v>
      </c>
      <c r="M70" s="286">
        <f t="shared" si="5"/>
        <v>0.8</v>
      </c>
      <c r="N70" s="281">
        <v>4</v>
      </c>
      <c r="O70" s="320">
        <v>43389</v>
      </c>
      <c r="P70" s="314">
        <v>1</v>
      </c>
      <c r="Q70" s="276">
        <v>5</v>
      </c>
      <c r="R70" s="276">
        <v>2</v>
      </c>
      <c r="S70" s="276">
        <v>0</v>
      </c>
      <c r="T70" s="276">
        <v>4</v>
      </c>
      <c r="U70" s="276">
        <v>0</v>
      </c>
      <c r="V70" s="276">
        <v>3</v>
      </c>
      <c r="W70" s="276">
        <v>1</v>
      </c>
      <c r="X70" s="328">
        <v>2</v>
      </c>
      <c r="Y70" s="282">
        <v>2</v>
      </c>
    </row>
    <row r="71" spans="1:25" s="273" customFormat="1" ht="17.399999999999999" customHeight="1">
      <c r="A71" s="274">
        <v>3260</v>
      </c>
      <c r="B71" s="283" t="s">
        <v>22</v>
      </c>
      <c r="C71" s="283">
        <v>24</v>
      </c>
      <c r="D71" s="276">
        <v>6</v>
      </c>
      <c r="E71" s="261" t="s">
        <v>60</v>
      </c>
      <c r="F71" s="309" t="s">
        <v>47</v>
      </c>
      <c r="G71" s="319">
        <v>43390</v>
      </c>
      <c r="H71" s="277">
        <v>43388</v>
      </c>
      <c r="I71" s="277"/>
      <c r="J71" s="278">
        <v>1</v>
      </c>
      <c r="K71" s="279">
        <v>1</v>
      </c>
      <c r="L71" s="278">
        <f t="shared" si="4"/>
        <v>19</v>
      </c>
      <c r="M71" s="280">
        <f t="shared" si="5"/>
        <v>0.76</v>
      </c>
      <c r="N71" s="281">
        <v>4</v>
      </c>
      <c r="O71" s="320">
        <v>43389</v>
      </c>
      <c r="P71" s="314">
        <v>1</v>
      </c>
      <c r="Q71" s="276">
        <v>3</v>
      </c>
      <c r="R71" s="276">
        <v>4</v>
      </c>
      <c r="S71" s="276">
        <v>0</v>
      </c>
      <c r="T71" s="276">
        <v>4</v>
      </c>
      <c r="U71" s="276">
        <v>1</v>
      </c>
      <c r="V71" s="276">
        <v>1</v>
      </c>
      <c r="W71" s="276">
        <v>1</v>
      </c>
      <c r="X71" s="328">
        <v>2</v>
      </c>
      <c r="Y71" s="282">
        <v>2</v>
      </c>
    </row>
    <row r="72" spans="1:25" s="273" customFormat="1" ht="17.399999999999999" customHeight="1">
      <c r="A72" s="274">
        <v>3258</v>
      </c>
      <c r="B72" s="283" t="s">
        <v>22</v>
      </c>
      <c r="C72" s="283">
        <v>25</v>
      </c>
      <c r="D72" s="276">
        <v>6</v>
      </c>
      <c r="E72" s="261" t="s">
        <v>585</v>
      </c>
      <c r="F72" s="309" t="s">
        <v>82</v>
      </c>
      <c r="G72" s="319">
        <v>43390</v>
      </c>
      <c r="H72" s="277">
        <v>43387</v>
      </c>
      <c r="I72" s="277"/>
      <c r="J72" s="278">
        <v>1</v>
      </c>
      <c r="K72" s="279">
        <v>1</v>
      </c>
      <c r="L72" s="278">
        <f t="shared" si="4"/>
        <v>14</v>
      </c>
      <c r="M72" s="280">
        <f t="shared" si="5"/>
        <v>0.56000000000000005</v>
      </c>
      <c r="N72" s="281">
        <v>3</v>
      </c>
      <c r="O72" s="320">
        <v>43389</v>
      </c>
      <c r="P72" s="314">
        <v>1</v>
      </c>
      <c r="Q72" s="276">
        <v>0</v>
      </c>
      <c r="R72" s="276">
        <v>4</v>
      </c>
      <c r="S72" s="276">
        <v>0</v>
      </c>
      <c r="T72" s="276">
        <v>3</v>
      </c>
      <c r="U72" s="276">
        <v>0</v>
      </c>
      <c r="V72" s="276">
        <v>3</v>
      </c>
      <c r="W72" s="276">
        <v>1</v>
      </c>
      <c r="X72" s="328">
        <v>0</v>
      </c>
      <c r="Y72" s="282">
        <v>2</v>
      </c>
    </row>
    <row r="73" spans="1:25" s="273" customFormat="1" ht="17.399999999999999" customHeight="1">
      <c r="A73" s="274">
        <v>3261</v>
      </c>
      <c r="B73" s="283" t="s">
        <v>22</v>
      </c>
      <c r="C73" s="283">
        <v>26</v>
      </c>
      <c r="D73" s="276">
        <v>5</v>
      </c>
      <c r="E73" s="261" t="s">
        <v>585</v>
      </c>
      <c r="F73" s="309" t="s">
        <v>185</v>
      </c>
      <c r="G73" s="319">
        <v>43390</v>
      </c>
      <c r="H73" s="277">
        <v>43387</v>
      </c>
      <c r="I73" s="277"/>
      <c r="J73" s="278">
        <v>1</v>
      </c>
      <c r="K73" s="279">
        <v>1</v>
      </c>
      <c r="L73" s="278">
        <f t="shared" si="4"/>
        <v>19</v>
      </c>
      <c r="M73" s="280">
        <f t="shared" si="5"/>
        <v>0.76</v>
      </c>
      <c r="N73" s="281">
        <v>4</v>
      </c>
      <c r="O73" s="320">
        <v>43389</v>
      </c>
      <c r="P73" s="314">
        <v>1</v>
      </c>
      <c r="Q73" s="276">
        <v>5</v>
      </c>
      <c r="R73" s="276">
        <v>1</v>
      </c>
      <c r="S73" s="276">
        <v>2</v>
      </c>
      <c r="T73" s="276">
        <v>4</v>
      </c>
      <c r="U73" s="276">
        <v>1</v>
      </c>
      <c r="V73" s="276">
        <v>2</v>
      </c>
      <c r="W73" s="276">
        <v>0</v>
      </c>
      <c r="X73" s="328">
        <v>2</v>
      </c>
      <c r="Y73" s="282">
        <v>1</v>
      </c>
    </row>
    <row r="74" spans="1:25" s="273" customFormat="1" ht="17.399999999999999" customHeight="1">
      <c r="A74" s="274">
        <v>3262</v>
      </c>
      <c r="B74" s="283" t="s">
        <v>22</v>
      </c>
      <c r="C74" s="283">
        <v>27</v>
      </c>
      <c r="D74" s="276">
        <v>5</v>
      </c>
      <c r="E74" s="261" t="s">
        <v>606</v>
      </c>
      <c r="F74" s="309" t="s">
        <v>128</v>
      </c>
      <c r="G74" s="319">
        <v>43390</v>
      </c>
      <c r="H74" s="277">
        <v>43389</v>
      </c>
      <c r="I74" s="277"/>
      <c r="J74" s="278">
        <v>1</v>
      </c>
      <c r="K74" s="279">
        <v>1</v>
      </c>
      <c r="L74" s="278">
        <f t="shared" si="4"/>
        <v>22.5</v>
      </c>
      <c r="M74" s="280">
        <f t="shared" si="5"/>
        <v>0.9</v>
      </c>
      <c r="N74" s="281" t="s">
        <v>33</v>
      </c>
      <c r="O74" s="320">
        <v>43389</v>
      </c>
      <c r="P74" s="314">
        <v>1</v>
      </c>
      <c r="Q74" s="276">
        <v>4</v>
      </c>
      <c r="R74" s="276">
        <v>4</v>
      </c>
      <c r="S74" s="276">
        <v>2</v>
      </c>
      <c r="T74" s="276">
        <v>4</v>
      </c>
      <c r="U74" s="276">
        <v>0</v>
      </c>
      <c r="V74" s="276">
        <v>3</v>
      </c>
      <c r="W74" s="276">
        <v>0.5</v>
      </c>
      <c r="X74" s="328">
        <v>2</v>
      </c>
      <c r="Y74" s="282">
        <v>2</v>
      </c>
    </row>
    <row r="75" spans="1:25" s="273" customFormat="1" ht="17.399999999999999" customHeight="1">
      <c r="A75" s="274">
        <v>3263</v>
      </c>
      <c r="B75" s="283" t="s">
        <v>22</v>
      </c>
      <c r="C75" s="283">
        <v>28</v>
      </c>
      <c r="D75" s="276">
        <v>5</v>
      </c>
      <c r="E75" s="261" t="s">
        <v>607</v>
      </c>
      <c r="F75" s="309" t="s">
        <v>48</v>
      </c>
      <c r="G75" s="319">
        <v>43390</v>
      </c>
      <c r="H75" s="277">
        <v>43388</v>
      </c>
      <c r="I75" s="277"/>
      <c r="J75" s="278">
        <v>1</v>
      </c>
      <c r="K75" s="279">
        <v>1</v>
      </c>
      <c r="L75" s="278">
        <f t="shared" si="4"/>
        <v>22</v>
      </c>
      <c r="M75" s="280">
        <f t="shared" si="5"/>
        <v>0.88</v>
      </c>
      <c r="N75" s="281" t="s">
        <v>34</v>
      </c>
      <c r="O75" s="320">
        <v>43389</v>
      </c>
      <c r="P75" s="314">
        <v>1</v>
      </c>
      <c r="Q75" s="276">
        <v>5</v>
      </c>
      <c r="R75" s="276">
        <v>4</v>
      </c>
      <c r="S75" s="276">
        <v>2</v>
      </c>
      <c r="T75" s="276">
        <v>1</v>
      </c>
      <c r="U75" s="276">
        <v>1</v>
      </c>
      <c r="V75" s="276">
        <v>3</v>
      </c>
      <c r="W75" s="276">
        <v>1</v>
      </c>
      <c r="X75" s="328">
        <v>2</v>
      </c>
      <c r="Y75" s="282">
        <v>2</v>
      </c>
    </row>
    <row r="76" spans="1:25" s="273" customFormat="1" ht="17.399999999999999" customHeight="1">
      <c r="A76" s="274">
        <v>3264</v>
      </c>
      <c r="B76" s="283" t="s">
        <v>22</v>
      </c>
      <c r="C76" s="283">
        <v>29</v>
      </c>
      <c r="D76" s="276">
        <v>4</v>
      </c>
      <c r="E76" s="261" t="s">
        <v>110</v>
      </c>
      <c r="F76" s="309" t="s">
        <v>185</v>
      </c>
      <c r="G76" s="319">
        <v>43390</v>
      </c>
      <c r="H76" s="277">
        <v>43385</v>
      </c>
      <c r="I76" s="277"/>
      <c r="J76" s="278">
        <v>1</v>
      </c>
      <c r="K76" s="279">
        <v>1</v>
      </c>
      <c r="L76" s="278">
        <f t="shared" si="4"/>
        <v>18</v>
      </c>
      <c r="M76" s="280">
        <f t="shared" si="5"/>
        <v>0.72</v>
      </c>
      <c r="N76" s="281" t="s">
        <v>30</v>
      </c>
      <c r="O76" s="320">
        <v>43389</v>
      </c>
      <c r="P76" s="314">
        <v>1</v>
      </c>
      <c r="Q76" s="276">
        <v>5</v>
      </c>
      <c r="R76" s="276">
        <v>1</v>
      </c>
      <c r="S76" s="276">
        <v>0</v>
      </c>
      <c r="T76" s="276">
        <v>4</v>
      </c>
      <c r="U76" s="276">
        <v>0</v>
      </c>
      <c r="V76" s="276">
        <v>2</v>
      </c>
      <c r="W76" s="276">
        <v>1</v>
      </c>
      <c r="X76" s="328">
        <v>2</v>
      </c>
      <c r="Y76" s="282">
        <v>2</v>
      </c>
    </row>
    <row r="77" spans="1:25" s="273" customFormat="1" ht="17.399999999999999" customHeight="1">
      <c r="A77" s="274">
        <v>3265</v>
      </c>
      <c r="B77" s="283" t="s">
        <v>22</v>
      </c>
      <c r="C77" s="283">
        <v>30</v>
      </c>
      <c r="D77" s="276">
        <v>6</v>
      </c>
      <c r="E77" s="261" t="s">
        <v>608</v>
      </c>
      <c r="F77" s="309" t="s">
        <v>47</v>
      </c>
      <c r="G77" s="319">
        <v>43390</v>
      </c>
      <c r="H77" s="277">
        <v>43383</v>
      </c>
      <c r="I77" s="277"/>
      <c r="J77" s="278">
        <v>1</v>
      </c>
      <c r="K77" s="279">
        <v>1</v>
      </c>
      <c r="L77" s="278">
        <f t="shared" si="4"/>
        <v>19</v>
      </c>
      <c r="M77" s="280">
        <f t="shared" si="5"/>
        <v>0.76</v>
      </c>
      <c r="N77" s="281">
        <v>4</v>
      </c>
      <c r="O77" s="320">
        <v>43389</v>
      </c>
      <c r="P77" s="314">
        <v>1</v>
      </c>
      <c r="Q77" s="276">
        <v>5</v>
      </c>
      <c r="R77" s="276">
        <v>1</v>
      </c>
      <c r="S77" s="276">
        <v>0</v>
      </c>
      <c r="T77" s="276">
        <v>4</v>
      </c>
      <c r="U77" s="276">
        <v>0</v>
      </c>
      <c r="V77" s="276">
        <v>3</v>
      </c>
      <c r="W77" s="276">
        <v>1</v>
      </c>
      <c r="X77" s="328">
        <v>2</v>
      </c>
      <c r="Y77" s="282">
        <v>2</v>
      </c>
    </row>
    <row r="78" spans="1:25" s="273" customFormat="1" ht="17.399999999999999" customHeight="1">
      <c r="A78" s="274">
        <v>3266</v>
      </c>
      <c r="B78" s="283" t="s">
        <v>22</v>
      </c>
      <c r="C78" s="283">
        <v>31</v>
      </c>
      <c r="D78" s="276">
        <v>6</v>
      </c>
      <c r="E78" s="261" t="s">
        <v>609</v>
      </c>
      <c r="F78" s="309" t="s">
        <v>379</v>
      </c>
      <c r="G78" s="319">
        <v>43390</v>
      </c>
      <c r="H78" s="277">
        <v>43383</v>
      </c>
      <c r="I78" s="277"/>
      <c r="J78" s="278">
        <v>1</v>
      </c>
      <c r="K78" s="279">
        <v>1</v>
      </c>
      <c r="L78" s="278">
        <f t="shared" si="4"/>
        <v>21</v>
      </c>
      <c r="M78" s="280">
        <f t="shared" si="5"/>
        <v>0.84</v>
      </c>
      <c r="N78" s="281">
        <v>4</v>
      </c>
      <c r="O78" s="320">
        <v>43389</v>
      </c>
      <c r="P78" s="314">
        <v>1</v>
      </c>
      <c r="Q78" s="276">
        <v>5</v>
      </c>
      <c r="R78" s="276">
        <v>2</v>
      </c>
      <c r="S78" s="276">
        <v>0</v>
      </c>
      <c r="T78" s="276">
        <v>4</v>
      </c>
      <c r="U78" s="276">
        <v>1</v>
      </c>
      <c r="V78" s="276">
        <v>3</v>
      </c>
      <c r="W78" s="276">
        <v>1</v>
      </c>
      <c r="X78" s="328">
        <v>2</v>
      </c>
      <c r="Y78" s="282">
        <v>2</v>
      </c>
    </row>
    <row r="79" spans="1:25" s="273" customFormat="1" ht="17.399999999999999" customHeight="1">
      <c r="A79" s="274">
        <v>3267</v>
      </c>
      <c r="B79" s="283" t="s">
        <v>22</v>
      </c>
      <c r="C79" s="283">
        <v>32</v>
      </c>
      <c r="D79" s="276">
        <v>4</v>
      </c>
      <c r="E79" s="261" t="s">
        <v>610</v>
      </c>
      <c r="F79" s="309" t="s">
        <v>79</v>
      </c>
      <c r="G79" s="319">
        <v>43390</v>
      </c>
      <c r="H79" s="277">
        <v>43388</v>
      </c>
      <c r="I79" s="277"/>
      <c r="J79" s="278">
        <v>1</v>
      </c>
      <c r="K79" s="279">
        <v>1</v>
      </c>
      <c r="L79" s="278">
        <f t="shared" si="4"/>
        <v>23</v>
      </c>
      <c r="M79" s="280">
        <f t="shared" si="5"/>
        <v>0.92</v>
      </c>
      <c r="N79" s="281" t="s">
        <v>33</v>
      </c>
      <c r="O79" s="320">
        <v>43389</v>
      </c>
      <c r="P79" s="314">
        <v>1</v>
      </c>
      <c r="Q79" s="276">
        <v>5</v>
      </c>
      <c r="R79" s="276">
        <v>4</v>
      </c>
      <c r="S79" s="276">
        <v>2</v>
      </c>
      <c r="T79" s="276">
        <v>4</v>
      </c>
      <c r="U79" s="276">
        <v>1</v>
      </c>
      <c r="V79" s="276">
        <v>3</v>
      </c>
      <c r="W79" s="276">
        <v>1</v>
      </c>
      <c r="X79" s="328">
        <v>2</v>
      </c>
      <c r="Y79" s="282"/>
    </row>
    <row r="80" spans="1:25" s="273" customFormat="1" ht="17.399999999999999" customHeight="1" thickBot="1">
      <c r="A80" s="288">
        <v>3353</v>
      </c>
      <c r="B80" s="297" t="s">
        <v>22</v>
      </c>
      <c r="C80" s="297">
        <v>33</v>
      </c>
      <c r="D80" s="290">
        <v>4</v>
      </c>
      <c r="E80" s="324" t="s">
        <v>611</v>
      </c>
      <c r="F80" s="325" t="s">
        <v>2</v>
      </c>
      <c r="G80" s="321">
        <v>43390</v>
      </c>
      <c r="H80" s="298">
        <v>43387</v>
      </c>
      <c r="I80" s="298"/>
      <c r="J80" s="292">
        <v>1</v>
      </c>
      <c r="K80" s="293">
        <v>1</v>
      </c>
      <c r="L80" s="299">
        <f t="shared" si="4"/>
        <v>20</v>
      </c>
      <c r="M80" s="300">
        <f t="shared" si="5"/>
        <v>0.8</v>
      </c>
      <c r="N80" s="295">
        <v>4</v>
      </c>
      <c r="O80" s="322">
        <v>43389</v>
      </c>
      <c r="P80" s="315">
        <v>1</v>
      </c>
      <c r="Q80" s="290">
        <v>5</v>
      </c>
      <c r="R80" s="290">
        <v>1</v>
      </c>
      <c r="S80" s="290">
        <v>0</v>
      </c>
      <c r="T80" s="290">
        <v>4</v>
      </c>
      <c r="U80" s="290">
        <v>1</v>
      </c>
      <c r="V80" s="290">
        <v>3</v>
      </c>
      <c r="W80" s="290">
        <v>1</v>
      </c>
      <c r="X80" s="329">
        <v>2</v>
      </c>
      <c r="Y80" s="296">
        <v>2</v>
      </c>
    </row>
    <row r="81" spans="1:25" s="273" customFormat="1" ht="17.399999999999999" customHeight="1" thickTop="1">
      <c r="A81" s="264">
        <v>3268</v>
      </c>
      <c r="B81" s="265" t="s">
        <v>23</v>
      </c>
      <c r="C81" s="265">
        <v>1</v>
      </c>
      <c r="D81" s="266">
        <v>7</v>
      </c>
      <c r="E81" s="259" t="s">
        <v>612</v>
      </c>
      <c r="F81" s="307" t="s">
        <v>80</v>
      </c>
      <c r="G81" s="317">
        <v>43390</v>
      </c>
      <c r="H81" s="267">
        <v>43381</v>
      </c>
      <c r="I81" s="301"/>
      <c r="J81" s="268">
        <v>1</v>
      </c>
      <c r="K81" s="269">
        <v>1</v>
      </c>
      <c r="L81" s="302">
        <f t="shared" si="4"/>
        <v>20</v>
      </c>
      <c r="M81" s="303">
        <f t="shared" si="5"/>
        <v>0.8</v>
      </c>
      <c r="N81" s="271">
        <v>4</v>
      </c>
      <c r="O81" s="318">
        <v>43389</v>
      </c>
      <c r="P81" s="313">
        <v>1</v>
      </c>
      <c r="Q81" s="266">
        <v>0</v>
      </c>
      <c r="R81" s="266">
        <v>4</v>
      </c>
      <c r="S81" s="266">
        <v>2</v>
      </c>
      <c r="T81" s="266">
        <v>4</v>
      </c>
      <c r="U81" s="266">
        <v>1</v>
      </c>
      <c r="V81" s="266">
        <v>3</v>
      </c>
      <c r="W81" s="266">
        <v>1</v>
      </c>
      <c r="X81" s="330">
        <v>2</v>
      </c>
      <c r="Y81" s="272">
        <v>2</v>
      </c>
    </row>
    <row r="82" spans="1:25" s="273" customFormat="1" ht="17.399999999999999" customHeight="1">
      <c r="A82" s="274">
        <v>3269</v>
      </c>
      <c r="B82" s="283" t="s">
        <v>23</v>
      </c>
      <c r="C82" s="283">
        <v>2</v>
      </c>
      <c r="D82" s="276">
        <v>7</v>
      </c>
      <c r="E82" s="261" t="s">
        <v>613</v>
      </c>
      <c r="F82" s="309" t="s">
        <v>14</v>
      </c>
      <c r="G82" s="319">
        <v>43390</v>
      </c>
      <c r="H82" s="277">
        <v>43382</v>
      </c>
      <c r="I82" s="284"/>
      <c r="J82" s="278">
        <v>1</v>
      </c>
      <c r="K82" s="279">
        <v>1</v>
      </c>
      <c r="L82" s="285">
        <f t="shared" si="4"/>
        <v>22</v>
      </c>
      <c r="M82" s="286">
        <f t="shared" si="5"/>
        <v>0.88</v>
      </c>
      <c r="N82" s="281" t="s">
        <v>34</v>
      </c>
      <c r="O82" s="320">
        <v>43389</v>
      </c>
      <c r="P82" s="314">
        <v>1</v>
      </c>
      <c r="Q82" s="276">
        <v>5</v>
      </c>
      <c r="R82" s="276">
        <v>4</v>
      </c>
      <c r="S82" s="276">
        <v>0</v>
      </c>
      <c r="T82" s="276">
        <v>4</v>
      </c>
      <c r="U82" s="276">
        <v>1</v>
      </c>
      <c r="V82" s="276">
        <v>3</v>
      </c>
      <c r="W82" s="276">
        <v>1</v>
      </c>
      <c r="X82" s="328">
        <v>2</v>
      </c>
      <c r="Y82" s="282">
        <v>1</v>
      </c>
    </row>
    <row r="83" spans="1:25" s="273" customFormat="1" ht="17.399999999999999" customHeight="1">
      <c r="A83" s="274">
        <v>3270</v>
      </c>
      <c r="B83" s="283" t="s">
        <v>23</v>
      </c>
      <c r="C83" s="283">
        <v>3</v>
      </c>
      <c r="D83" s="276">
        <v>7</v>
      </c>
      <c r="E83" s="261" t="s">
        <v>614</v>
      </c>
      <c r="F83" s="309" t="s">
        <v>615</v>
      </c>
      <c r="G83" s="319">
        <v>43390</v>
      </c>
      <c r="H83" s="277">
        <v>43382</v>
      </c>
      <c r="I83" s="277"/>
      <c r="J83" s="278">
        <v>1</v>
      </c>
      <c r="K83" s="279">
        <v>1</v>
      </c>
      <c r="L83" s="278">
        <f t="shared" si="4"/>
        <v>14</v>
      </c>
      <c r="M83" s="280">
        <f t="shared" si="5"/>
        <v>0.56000000000000005</v>
      </c>
      <c r="N83" s="281">
        <v>3</v>
      </c>
      <c r="O83" s="320">
        <v>43389</v>
      </c>
      <c r="P83" s="314">
        <v>1</v>
      </c>
      <c r="Q83" s="276">
        <v>0</v>
      </c>
      <c r="R83" s="276">
        <v>1</v>
      </c>
      <c r="S83" s="276">
        <v>0</v>
      </c>
      <c r="T83" s="276">
        <v>4</v>
      </c>
      <c r="U83" s="276">
        <v>0</v>
      </c>
      <c r="V83" s="276">
        <v>3</v>
      </c>
      <c r="W83" s="276">
        <v>1</v>
      </c>
      <c r="X83" s="328">
        <v>2</v>
      </c>
      <c r="Y83" s="282">
        <v>2</v>
      </c>
    </row>
    <row r="84" spans="1:25" s="273" customFormat="1" ht="17.399999999999999" customHeight="1">
      <c r="A84" s="274">
        <v>3271</v>
      </c>
      <c r="B84" s="283" t="s">
        <v>23</v>
      </c>
      <c r="C84" s="283">
        <v>4</v>
      </c>
      <c r="D84" s="276">
        <v>7</v>
      </c>
      <c r="E84" s="261" t="s">
        <v>616</v>
      </c>
      <c r="F84" s="309" t="s">
        <v>689</v>
      </c>
      <c r="G84" s="319">
        <v>43390</v>
      </c>
      <c r="H84" s="277">
        <v>43378</v>
      </c>
      <c r="I84" s="284"/>
      <c r="J84" s="278">
        <v>1</v>
      </c>
      <c r="K84" s="279">
        <v>1</v>
      </c>
      <c r="L84" s="285">
        <f t="shared" si="4"/>
        <v>20</v>
      </c>
      <c r="M84" s="286">
        <f t="shared" si="5"/>
        <v>0.8</v>
      </c>
      <c r="N84" s="281">
        <v>4</v>
      </c>
      <c r="O84" s="320">
        <v>43392</v>
      </c>
      <c r="P84" s="314">
        <v>1</v>
      </c>
      <c r="Q84" s="276">
        <v>4</v>
      </c>
      <c r="R84" s="276">
        <v>4</v>
      </c>
      <c r="S84" s="276">
        <v>2</v>
      </c>
      <c r="T84" s="276">
        <v>4</v>
      </c>
      <c r="U84" s="276">
        <v>1</v>
      </c>
      <c r="V84" s="276">
        <v>3</v>
      </c>
      <c r="W84" s="276">
        <v>1</v>
      </c>
      <c r="X84" s="328">
        <v>-2</v>
      </c>
      <c r="Y84" s="282">
        <v>2</v>
      </c>
    </row>
    <row r="85" spans="1:25" s="273" customFormat="1" ht="17.399999999999999" customHeight="1">
      <c r="A85" s="274">
        <v>3272</v>
      </c>
      <c r="B85" s="283" t="s">
        <v>23</v>
      </c>
      <c r="C85" s="283">
        <v>5</v>
      </c>
      <c r="D85" s="276">
        <v>7</v>
      </c>
      <c r="E85" s="261" t="s">
        <v>617</v>
      </c>
      <c r="F85" s="309" t="s">
        <v>358</v>
      </c>
      <c r="G85" s="319">
        <v>43390</v>
      </c>
      <c r="H85" s="277">
        <v>43389</v>
      </c>
      <c r="I85" s="277"/>
      <c r="J85" s="278">
        <v>1</v>
      </c>
      <c r="K85" s="279">
        <v>1</v>
      </c>
      <c r="L85" s="278">
        <f t="shared" si="4"/>
        <v>14</v>
      </c>
      <c r="M85" s="280">
        <f t="shared" si="5"/>
        <v>0.56000000000000005</v>
      </c>
      <c r="N85" s="281">
        <v>3</v>
      </c>
      <c r="O85" s="320">
        <v>43389</v>
      </c>
      <c r="P85" s="314">
        <v>1</v>
      </c>
      <c r="Q85" s="276">
        <v>3</v>
      </c>
      <c r="R85" s="276">
        <v>1</v>
      </c>
      <c r="S85" s="276">
        <v>0</v>
      </c>
      <c r="T85" s="276">
        <v>3</v>
      </c>
      <c r="U85" s="276">
        <v>0</v>
      </c>
      <c r="V85" s="276">
        <v>3</v>
      </c>
      <c r="W85" s="276">
        <v>1</v>
      </c>
      <c r="X85" s="328">
        <v>2</v>
      </c>
      <c r="Y85" s="282"/>
    </row>
    <row r="86" spans="1:25" s="273" customFormat="1" ht="17.399999999999999" customHeight="1">
      <c r="A86" s="274">
        <v>3273</v>
      </c>
      <c r="B86" s="283" t="s">
        <v>23</v>
      </c>
      <c r="C86" s="283">
        <v>6</v>
      </c>
      <c r="D86" s="276">
        <v>8</v>
      </c>
      <c r="E86" s="261" t="s">
        <v>618</v>
      </c>
      <c r="F86" s="309" t="s">
        <v>690</v>
      </c>
      <c r="G86" s="319">
        <v>43390</v>
      </c>
      <c r="H86" s="277">
        <v>43386</v>
      </c>
      <c r="I86" s="277"/>
      <c r="J86" s="278">
        <v>1</v>
      </c>
      <c r="K86" s="279">
        <v>1</v>
      </c>
      <c r="L86" s="278">
        <f t="shared" si="4"/>
        <v>17</v>
      </c>
      <c r="M86" s="280">
        <f t="shared" si="5"/>
        <v>0.68</v>
      </c>
      <c r="N86" s="281" t="s">
        <v>32</v>
      </c>
      <c r="O86" s="320">
        <v>43389</v>
      </c>
      <c r="P86" s="314">
        <v>1</v>
      </c>
      <c r="Q86" s="276">
        <v>0</v>
      </c>
      <c r="R86" s="276">
        <v>3</v>
      </c>
      <c r="S86" s="276">
        <v>0</v>
      </c>
      <c r="T86" s="276">
        <v>4</v>
      </c>
      <c r="U86" s="276">
        <v>1</v>
      </c>
      <c r="V86" s="276">
        <v>3</v>
      </c>
      <c r="W86" s="276">
        <v>1</v>
      </c>
      <c r="X86" s="328">
        <v>2</v>
      </c>
      <c r="Y86" s="282">
        <v>2</v>
      </c>
    </row>
    <row r="87" spans="1:25" s="273" customFormat="1" ht="17.399999999999999" customHeight="1">
      <c r="A87" s="274">
        <v>3274</v>
      </c>
      <c r="B87" s="283" t="s">
        <v>23</v>
      </c>
      <c r="C87" s="283">
        <v>7</v>
      </c>
      <c r="D87" s="276">
        <v>13</v>
      </c>
      <c r="E87" s="261" t="s">
        <v>619</v>
      </c>
      <c r="F87" s="309" t="s">
        <v>567</v>
      </c>
      <c r="G87" s="319">
        <v>43390</v>
      </c>
      <c r="H87" s="277">
        <v>43384</v>
      </c>
      <c r="I87" s="277"/>
      <c r="J87" s="278">
        <v>1</v>
      </c>
      <c r="K87" s="279">
        <v>1</v>
      </c>
      <c r="L87" s="278">
        <f t="shared" si="4"/>
        <v>22</v>
      </c>
      <c r="M87" s="280">
        <f t="shared" si="5"/>
        <v>0.88</v>
      </c>
      <c r="N87" s="281" t="s">
        <v>34</v>
      </c>
      <c r="O87" s="320">
        <v>43389</v>
      </c>
      <c r="P87" s="314">
        <v>1</v>
      </c>
      <c r="Q87" s="276">
        <v>5</v>
      </c>
      <c r="R87" s="276">
        <v>1</v>
      </c>
      <c r="S87" s="276">
        <v>2</v>
      </c>
      <c r="T87" s="276">
        <v>4</v>
      </c>
      <c r="U87" s="276">
        <v>1</v>
      </c>
      <c r="V87" s="276">
        <v>3</v>
      </c>
      <c r="W87" s="276">
        <v>1</v>
      </c>
      <c r="X87" s="328">
        <v>2</v>
      </c>
      <c r="Y87" s="282">
        <v>2</v>
      </c>
    </row>
    <row r="88" spans="1:25" s="273" customFormat="1" ht="17.399999999999999" customHeight="1">
      <c r="A88" s="274">
        <v>3275</v>
      </c>
      <c r="B88" s="283" t="s">
        <v>23</v>
      </c>
      <c r="C88" s="283">
        <v>8</v>
      </c>
      <c r="D88" s="276">
        <v>7</v>
      </c>
      <c r="E88" s="261" t="s">
        <v>620</v>
      </c>
      <c r="F88" s="309" t="s">
        <v>47</v>
      </c>
      <c r="G88" s="319">
        <v>43390</v>
      </c>
      <c r="H88" s="277">
        <v>43382</v>
      </c>
      <c r="I88" s="284"/>
      <c r="J88" s="278">
        <v>1</v>
      </c>
      <c r="K88" s="279">
        <v>1</v>
      </c>
      <c r="L88" s="285">
        <f t="shared" si="4"/>
        <v>20</v>
      </c>
      <c r="M88" s="286">
        <f t="shared" si="5"/>
        <v>0.8</v>
      </c>
      <c r="N88" s="281">
        <v>4</v>
      </c>
      <c r="O88" s="320">
        <v>43389</v>
      </c>
      <c r="P88" s="314">
        <v>1</v>
      </c>
      <c r="Q88" s="276">
        <v>5</v>
      </c>
      <c r="R88" s="276">
        <v>1</v>
      </c>
      <c r="S88" s="276">
        <v>2</v>
      </c>
      <c r="T88" s="276">
        <v>3</v>
      </c>
      <c r="U88" s="276">
        <v>1</v>
      </c>
      <c r="V88" s="276">
        <v>3</v>
      </c>
      <c r="W88" s="276">
        <v>1</v>
      </c>
      <c r="X88" s="328">
        <v>2</v>
      </c>
      <c r="Y88" s="282">
        <v>1</v>
      </c>
    </row>
    <row r="89" spans="1:25" s="273" customFormat="1" ht="17.399999999999999" customHeight="1">
      <c r="A89" s="274">
        <v>3276</v>
      </c>
      <c r="B89" s="283" t="s">
        <v>23</v>
      </c>
      <c r="C89" s="283">
        <v>9</v>
      </c>
      <c r="D89" s="276">
        <v>7</v>
      </c>
      <c r="E89" s="261" t="s">
        <v>150</v>
      </c>
      <c r="F89" s="309" t="s">
        <v>79</v>
      </c>
      <c r="G89" s="319">
        <v>43390</v>
      </c>
      <c r="H89" s="277"/>
      <c r="I89" s="277" t="s">
        <v>208</v>
      </c>
      <c r="J89" s="278">
        <v>1</v>
      </c>
      <c r="K89" s="279">
        <v>1</v>
      </c>
      <c r="L89" s="278">
        <f t="shared" si="4"/>
        <v>0</v>
      </c>
      <c r="M89" s="280">
        <f t="shared" si="5"/>
        <v>0</v>
      </c>
      <c r="N89" s="281">
        <v>1</v>
      </c>
      <c r="O89" s="320">
        <v>43392</v>
      </c>
      <c r="P89" s="314"/>
      <c r="Q89" s="276"/>
      <c r="R89" s="276"/>
      <c r="S89" s="276"/>
      <c r="T89" s="276"/>
      <c r="U89" s="276"/>
      <c r="V89" s="276"/>
      <c r="W89" s="276"/>
      <c r="X89" s="328"/>
      <c r="Y89" s="282"/>
    </row>
    <row r="90" spans="1:25" s="273" customFormat="1" ht="17.399999999999999" customHeight="1">
      <c r="A90" s="274">
        <v>3277</v>
      </c>
      <c r="B90" s="283" t="s">
        <v>23</v>
      </c>
      <c r="C90" s="283">
        <v>10</v>
      </c>
      <c r="D90" s="276">
        <v>13</v>
      </c>
      <c r="E90" s="261" t="s">
        <v>621</v>
      </c>
      <c r="F90" s="309" t="s">
        <v>100</v>
      </c>
      <c r="G90" s="319">
        <v>43390</v>
      </c>
      <c r="H90" s="277"/>
      <c r="I90" s="277" t="s">
        <v>208</v>
      </c>
      <c r="J90" s="278">
        <v>1</v>
      </c>
      <c r="K90" s="279">
        <v>1</v>
      </c>
      <c r="L90" s="278">
        <f t="shared" si="4"/>
        <v>0</v>
      </c>
      <c r="M90" s="280">
        <f t="shared" si="5"/>
        <v>0</v>
      </c>
      <c r="N90" s="281">
        <v>1</v>
      </c>
      <c r="O90" s="320">
        <v>43392</v>
      </c>
      <c r="P90" s="314"/>
      <c r="Q90" s="276"/>
      <c r="R90" s="276"/>
      <c r="S90" s="276"/>
      <c r="T90" s="276"/>
      <c r="U90" s="276"/>
      <c r="V90" s="276"/>
      <c r="W90" s="276"/>
      <c r="X90" s="328"/>
      <c r="Y90" s="282"/>
    </row>
    <row r="91" spans="1:25" s="273" customFormat="1" ht="17.399999999999999" customHeight="1">
      <c r="A91" s="274">
        <v>3278</v>
      </c>
      <c r="B91" s="283" t="s">
        <v>23</v>
      </c>
      <c r="C91" s="283">
        <v>11</v>
      </c>
      <c r="D91" s="276">
        <v>8</v>
      </c>
      <c r="E91" s="261" t="s">
        <v>426</v>
      </c>
      <c r="F91" s="309" t="s">
        <v>68</v>
      </c>
      <c r="G91" s="319">
        <v>43390</v>
      </c>
      <c r="H91" s="277">
        <v>43382</v>
      </c>
      <c r="I91" s="284"/>
      <c r="J91" s="278">
        <v>1</v>
      </c>
      <c r="K91" s="279">
        <v>1</v>
      </c>
      <c r="L91" s="285">
        <f t="shared" si="4"/>
        <v>21.5</v>
      </c>
      <c r="M91" s="286">
        <f t="shared" si="5"/>
        <v>0.86</v>
      </c>
      <c r="N91" s="281" t="s">
        <v>34</v>
      </c>
      <c r="O91" s="320">
        <v>43389</v>
      </c>
      <c r="P91" s="314">
        <v>1</v>
      </c>
      <c r="Q91" s="276">
        <v>5</v>
      </c>
      <c r="R91" s="276">
        <v>3</v>
      </c>
      <c r="S91" s="276">
        <v>0</v>
      </c>
      <c r="T91" s="276">
        <v>4</v>
      </c>
      <c r="U91" s="276">
        <v>1</v>
      </c>
      <c r="V91" s="276">
        <v>3</v>
      </c>
      <c r="W91" s="276">
        <v>0.5</v>
      </c>
      <c r="X91" s="328">
        <v>2</v>
      </c>
      <c r="Y91" s="282">
        <v>2</v>
      </c>
    </row>
    <row r="92" spans="1:25" s="273" customFormat="1" ht="17.399999999999999" customHeight="1">
      <c r="A92" s="274">
        <v>3279</v>
      </c>
      <c r="B92" s="283" t="s">
        <v>23</v>
      </c>
      <c r="C92" s="283">
        <v>12</v>
      </c>
      <c r="D92" s="276">
        <v>13</v>
      </c>
      <c r="E92" s="261" t="s">
        <v>622</v>
      </c>
      <c r="F92" s="309" t="s">
        <v>623</v>
      </c>
      <c r="G92" s="319">
        <v>43390</v>
      </c>
      <c r="H92" s="277"/>
      <c r="I92" s="277" t="s">
        <v>208</v>
      </c>
      <c r="J92" s="278">
        <v>1</v>
      </c>
      <c r="K92" s="279">
        <v>1</v>
      </c>
      <c r="L92" s="278">
        <f t="shared" si="4"/>
        <v>0</v>
      </c>
      <c r="M92" s="280">
        <f t="shared" si="5"/>
        <v>0</v>
      </c>
      <c r="N92" s="281">
        <v>1</v>
      </c>
      <c r="O92" s="320">
        <v>43392</v>
      </c>
      <c r="P92" s="314"/>
      <c r="Q92" s="276"/>
      <c r="R92" s="276"/>
      <c r="S92" s="276"/>
      <c r="T92" s="276"/>
      <c r="U92" s="276"/>
      <c r="V92" s="276"/>
      <c r="W92" s="276"/>
      <c r="X92" s="328"/>
      <c r="Y92" s="282"/>
    </row>
    <row r="93" spans="1:25" s="273" customFormat="1" ht="17.399999999999999" customHeight="1">
      <c r="A93" s="274">
        <v>3280</v>
      </c>
      <c r="B93" s="283" t="s">
        <v>23</v>
      </c>
      <c r="C93" s="283">
        <v>13</v>
      </c>
      <c r="D93" s="276">
        <v>7</v>
      </c>
      <c r="E93" s="261" t="s">
        <v>624</v>
      </c>
      <c r="F93" s="309" t="s">
        <v>385</v>
      </c>
      <c r="G93" s="319">
        <v>43390</v>
      </c>
      <c r="H93" s="277">
        <v>43390</v>
      </c>
      <c r="I93" s="276"/>
      <c r="J93" s="278">
        <v>1</v>
      </c>
      <c r="K93" s="279">
        <v>1</v>
      </c>
      <c r="L93" s="278">
        <f t="shared" si="4"/>
        <v>10.5</v>
      </c>
      <c r="M93" s="280">
        <f t="shared" si="5"/>
        <v>0.42</v>
      </c>
      <c r="N93" s="281">
        <v>2</v>
      </c>
      <c r="O93" s="320">
        <v>43392</v>
      </c>
      <c r="P93" s="314">
        <v>1</v>
      </c>
      <c r="Q93" s="276">
        <v>0</v>
      </c>
      <c r="R93" s="276">
        <v>1</v>
      </c>
      <c r="S93" s="276">
        <v>0</v>
      </c>
      <c r="T93" s="276">
        <v>2</v>
      </c>
      <c r="U93" s="276">
        <v>0</v>
      </c>
      <c r="V93" s="276">
        <v>3</v>
      </c>
      <c r="W93" s="276">
        <v>0.5</v>
      </c>
      <c r="X93" s="328">
        <v>2</v>
      </c>
      <c r="Y93" s="282">
        <v>1</v>
      </c>
    </row>
    <row r="94" spans="1:25" s="273" customFormat="1" ht="17.399999999999999" customHeight="1">
      <c r="A94" s="274">
        <v>3281</v>
      </c>
      <c r="B94" s="283" t="s">
        <v>23</v>
      </c>
      <c r="C94" s="283">
        <v>14</v>
      </c>
      <c r="D94" s="276">
        <v>13</v>
      </c>
      <c r="E94" s="261" t="s">
        <v>625</v>
      </c>
      <c r="F94" s="309" t="s">
        <v>80</v>
      </c>
      <c r="G94" s="319">
        <v>43390</v>
      </c>
      <c r="H94" s="277">
        <v>43387</v>
      </c>
      <c r="I94" s="276"/>
      <c r="J94" s="278">
        <v>1</v>
      </c>
      <c r="K94" s="279">
        <v>1</v>
      </c>
      <c r="L94" s="278">
        <f t="shared" si="4"/>
        <v>22</v>
      </c>
      <c r="M94" s="280">
        <f t="shared" si="5"/>
        <v>0.88</v>
      </c>
      <c r="N94" s="281" t="s">
        <v>34</v>
      </c>
      <c r="O94" s="320">
        <v>43389</v>
      </c>
      <c r="P94" s="314">
        <v>1</v>
      </c>
      <c r="Q94" s="276">
        <v>5</v>
      </c>
      <c r="R94" s="276">
        <v>3</v>
      </c>
      <c r="S94" s="276">
        <v>0</v>
      </c>
      <c r="T94" s="276">
        <v>4</v>
      </c>
      <c r="U94" s="276">
        <v>1</v>
      </c>
      <c r="V94" s="276">
        <v>3</v>
      </c>
      <c r="W94" s="276">
        <v>1</v>
      </c>
      <c r="X94" s="328">
        <v>2</v>
      </c>
      <c r="Y94" s="282">
        <v>2</v>
      </c>
    </row>
    <row r="95" spans="1:25" s="273" customFormat="1" ht="17.399999999999999" customHeight="1">
      <c r="A95" s="274">
        <v>3245</v>
      </c>
      <c r="B95" s="283" t="s">
        <v>23</v>
      </c>
      <c r="C95" s="283">
        <v>15</v>
      </c>
      <c r="D95" s="276">
        <v>13</v>
      </c>
      <c r="E95" s="261" t="s">
        <v>626</v>
      </c>
      <c r="F95" s="309" t="s">
        <v>674</v>
      </c>
      <c r="G95" s="319">
        <v>43390</v>
      </c>
      <c r="H95" s="284">
        <v>43389</v>
      </c>
      <c r="I95" s="284"/>
      <c r="J95" s="278">
        <v>1</v>
      </c>
      <c r="K95" s="279">
        <v>1</v>
      </c>
      <c r="L95" s="285">
        <f t="shared" si="4"/>
        <v>16</v>
      </c>
      <c r="M95" s="286">
        <f t="shared" si="5"/>
        <v>0.64</v>
      </c>
      <c r="N95" s="281">
        <v>3</v>
      </c>
      <c r="O95" s="320">
        <v>43389</v>
      </c>
      <c r="P95" s="314">
        <v>1</v>
      </c>
      <c r="Q95" s="276">
        <v>0</v>
      </c>
      <c r="R95" s="276">
        <v>1</v>
      </c>
      <c r="S95" s="276">
        <v>2</v>
      </c>
      <c r="T95" s="276">
        <v>4</v>
      </c>
      <c r="U95" s="276">
        <v>1</v>
      </c>
      <c r="V95" s="276">
        <v>3</v>
      </c>
      <c r="W95" s="276">
        <v>1</v>
      </c>
      <c r="X95" s="328">
        <v>2</v>
      </c>
      <c r="Y95" s="282">
        <v>1</v>
      </c>
    </row>
    <row r="96" spans="1:25" s="273" customFormat="1" ht="17.399999999999999" customHeight="1">
      <c r="A96" s="274">
        <v>3282</v>
      </c>
      <c r="B96" s="283" t="s">
        <v>23</v>
      </c>
      <c r="C96" s="283">
        <v>16</v>
      </c>
      <c r="D96" s="276">
        <v>7</v>
      </c>
      <c r="E96" s="261" t="s">
        <v>627</v>
      </c>
      <c r="F96" s="309" t="s">
        <v>691</v>
      </c>
      <c r="G96" s="319">
        <v>43390</v>
      </c>
      <c r="H96" s="284">
        <v>43379</v>
      </c>
      <c r="I96" s="284"/>
      <c r="J96" s="278">
        <v>1</v>
      </c>
      <c r="K96" s="279">
        <v>1</v>
      </c>
      <c r="L96" s="285">
        <f t="shared" si="4"/>
        <v>25</v>
      </c>
      <c r="M96" s="286">
        <f t="shared" si="5"/>
        <v>1</v>
      </c>
      <c r="N96" s="281">
        <v>5</v>
      </c>
      <c r="O96" s="320">
        <v>43389</v>
      </c>
      <c r="P96" s="314">
        <v>1</v>
      </c>
      <c r="Q96" s="276">
        <v>5</v>
      </c>
      <c r="R96" s="276">
        <v>4</v>
      </c>
      <c r="S96" s="276">
        <v>2</v>
      </c>
      <c r="T96" s="276">
        <v>4</v>
      </c>
      <c r="U96" s="276">
        <v>1</v>
      </c>
      <c r="V96" s="276">
        <v>3</v>
      </c>
      <c r="W96" s="276">
        <v>1</v>
      </c>
      <c r="X96" s="328">
        <v>2</v>
      </c>
      <c r="Y96" s="282">
        <v>2</v>
      </c>
    </row>
    <row r="97" spans="1:25" s="273" customFormat="1" ht="17.399999999999999" customHeight="1">
      <c r="A97" s="274">
        <v>3283</v>
      </c>
      <c r="B97" s="283" t="s">
        <v>23</v>
      </c>
      <c r="C97" s="283">
        <v>17</v>
      </c>
      <c r="D97" s="276">
        <v>8</v>
      </c>
      <c r="E97" s="261" t="s">
        <v>628</v>
      </c>
      <c r="F97" s="309" t="s">
        <v>2</v>
      </c>
      <c r="G97" s="319">
        <v>43390</v>
      </c>
      <c r="H97" s="284">
        <v>43382</v>
      </c>
      <c r="I97" s="284"/>
      <c r="J97" s="278">
        <v>1</v>
      </c>
      <c r="K97" s="279">
        <v>1</v>
      </c>
      <c r="L97" s="285">
        <f t="shared" si="4"/>
        <v>15</v>
      </c>
      <c r="M97" s="286">
        <f t="shared" si="5"/>
        <v>0.6</v>
      </c>
      <c r="N97" s="281">
        <v>3</v>
      </c>
      <c r="O97" s="320">
        <v>43389</v>
      </c>
      <c r="P97" s="314">
        <v>1</v>
      </c>
      <c r="Q97" s="276">
        <v>0</v>
      </c>
      <c r="R97" s="276">
        <v>1</v>
      </c>
      <c r="S97" s="276">
        <v>0</v>
      </c>
      <c r="T97" s="276">
        <v>4</v>
      </c>
      <c r="U97" s="276">
        <v>1</v>
      </c>
      <c r="V97" s="276">
        <v>3</v>
      </c>
      <c r="W97" s="276">
        <v>1</v>
      </c>
      <c r="X97" s="328">
        <v>2</v>
      </c>
      <c r="Y97" s="282">
        <v>2</v>
      </c>
    </row>
    <row r="98" spans="1:25" s="273" customFormat="1" ht="17.399999999999999" customHeight="1">
      <c r="A98" s="274">
        <v>3284</v>
      </c>
      <c r="B98" s="283" t="s">
        <v>23</v>
      </c>
      <c r="C98" s="283">
        <v>18</v>
      </c>
      <c r="D98" s="276">
        <v>13</v>
      </c>
      <c r="E98" s="261" t="s">
        <v>629</v>
      </c>
      <c r="F98" s="309" t="s">
        <v>82</v>
      </c>
      <c r="G98" s="319">
        <v>43390</v>
      </c>
      <c r="H98" s="284"/>
      <c r="I98" s="277" t="s">
        <v>208</v>
      </c>
      <c r="J98" s="278">
        <v>1</v>
      </c>
      <c r="K98" s="279">
        <v>1</v>
      </c>
      <c r="L98" s="285">
        <f t="shared" ref="L98:L134" si="6">SUM(P98:Y98)</f>
        <v>0</v>
      </c>
      <c r="M98" s="286">
        <f t="shared" ref="M98:M136" si="7">L98/$L$2</f>
        <v>0</v>
      </c>
      <c r="N98" s="281">
        <v>1</v>
      </c>
      <c r="O98" s="320">
        <v>43392</v>
      </c>
      <c r="P98" s="314"/>
      <c r="Q98" s="276"/>
      <c r="R98" s="276"/>
      <c r="S98" s="276"/>
      <c r="T98" s="276"/>
      <c r="U98" s="276"/>
      <c r="V98" s="276"/>
      <c r="W98" s="276"/>
      <c r="X98" s="328"/>
      <c r="Y98" s="282"/>
    </row>
    <row r="99" spans="1:25" s="273" customFormat="1" ht="17.399999999999999" customHeight="1">
      <c r="A99" s="274">
        <v>3285</v>
      </c>
      <c r="B99" s="283" t="s">
        <v>23</v>
      </c>
      <c r="C99" s="283">
        <v>19</v>
      </c>
      <c r="D99" s="276">
        <v>7</v>
      </c>
      <c r="E99" s="261" t="s">
        <v>630</v>
      </c>
      <c r="F99" s="309" t="s">
        <v>174</v>
      </c>
      <c r="G99" s="319">
        <v>43390</v>
      </c>
      <c r="H99" s="277">
        <v>43382</v>
      </c>
      <c r="I99" s="284"/>
      <c r="J99" s="278">
        <v>1</v>
      </c>
      <c r="K99" s="279">
        <v>1</v>
      </c>
      <c r="L99" s="285">
        <f t="shared" si="6"/>
        <v>22</v>
      </c>
      <c r="M99" s="286">
        <f t="shared" si="7"/>
        <v>0.88</v>
      </c>
      <c r="N99" s="281" t="s">
        <v>34</v>
      </c>
      <c r="O99" s="320">
        <v>43389</v>
      </c>
      <c r="P99" s="314">
        <v>1</v>
      </c>
      <c r="Q99" s="276">
        <v>5</v>
      </c>
      <c r="R99" s="276">
        <v>3</v>
      </c>
      <c r="S99" s="276">
        <v>0</v>
      </c>
      <c r="T99" s="276">
        <v>4</v>
      </c>
      <c r="U99" s="276">
        <v>1</v>
      </c>
      <c r="V99" s="276">
        <v>3</v>
      </c>
      <c r="W99" s="276">
        <v>1</v>
      </c>
      <c r="X99" s="328">
        <v>2</v>
      </c>
      <c r="Y99" s="282">
        <v>2</v>
      </c>
    </row>
    <row r="100" spans="1:25" s="273" customFormat="1" ht="17.399999999999999" customHeight="1">
      <c r="A100" s="274">
        <v>3286</v>
      </c>
      <c r="B100" s="283" t="s">
        <v>23</v>
      </c>
      <c r="C100" s="283">
        <v>20</v>
      </c>
      <c r="D100" s="276">
        <v>7</v>
      </c>
      <c r="E100" s="261" t="s">
        <v>631</v>
      </c>
      <c r="F100" s="309" t="s">
        <v>400</v>
      </c>
      <c r="G100" s="319">
        <v>43390</v>
      </c>
      <c r="H100" s="284">
        <v>43388</v>
      </c>
      <c r="I100" s="284"/>
      <c r="J100" s="278">
        <v>1</v>
      </c>
      <c r="K100" s="279">
        <v>1</v>
      </c>
      <c r="L100" s="285">
        <f t="shared" si="6"/>
        <v>22</v>
      </c>
      <c r="M100" s="286">
        <f t="shared" si="7"/>
        <v>0.88</v>
      </c>
      <c r="N100" s="281" t="s">
        <v>34</v>
      </c>
      <c r="O100" s="320">
        <v>43389</v>
      </c>
      <c r="P100" s="316">
        <v>1</v>
      </c>
      <c r="Q100" s="276">
        <v>5</v>
      </c>
      <c r="R100" s="276">
        <v>4</v>
      </c>
      <c r="S100" s="276">
        <v>1</v>
      </c>
      <c r="T100" s="276">
        <v>3</v>
      </c>
      <c r="U100" s="276">
        <v>0</v>
      </c>
      <c r="V100" s="276">
        <v>3</v>
      </c>
      <c r="W100" s="276">
        <v>1</v>
      </c>
      <c r="X100" s="328">
        <v>2</v>
      </c>
      <c r="Y100" s="282">
        <v>2</v>
      </c>
    </row>
    <row r="101" spans="1:25" s="273" customFormat="1" ht="17.399999999999999" customHeight="1">
      <c r="A101" s="274">
        <v>3287</v>
      </c>
      <c r="B101" s="283" t="s">
        <v>23</v>
      </c>
      <c r="C101" s="283">
        <v>21</v>
      </c>
      <c r="D101" s="276">
        <v>8</v>
      </c>
      <c r="E101" s="261" t="s">
        <v>632</v>
      </c>
      <c r="F101" s="309" t="s">
        <v>692</v>
      </c>
      <c r="G101" s="319">
        <v>43390</v>
      </c>
      <c r="H101" s="284">
        <v>43387</v>
      </c>
      <c r="I101" s="284"/>
      <c r="J101" s="278">
        <v>1</v>
      </c>
      <c r="K101" s="279">
        <v>1</v>
      </c>
      <c r="L101" s="285">
        <f t="shared" si="6"/>
        <v>20</v>
      </c>
      <c r="M101" s="286">
        <f t="shared" si="7"/>
        <v>0.8</v>
      </c>
      <c r="N101" s="281">
        <v>4</v>
      </c>
      <c r="O101" s="320">
        <v>43389</v>
      </c>
      <c r="P101" s="314">
        <v>1</v>
      </c>
      <c r="Q101" s="276">
        <v>5</v>
      </c>
      <c r="R101" s="276">
        <v>1</v>
      </c>
      <c r="S101" s="276">
        <v>0</v>
      </c>
      <c r="T101" s="276">
        <v>4</v>
      </c>
      <c r="U101" s="276">
        <v>1</v>
      </c>
      <c r="V101" s="276">
        <v>3</v>
      </c>
      <c r="W101" s="276">
        <v>1</v>
      </c>
      <c r="X101" s="328">
        <v>2</v>
      </c>
      <c r="Y101" s="282">
        <v>2</v>
      </c>
    </row>
    <row r="102" spans="1:25" s="273" customFormat="1" ht="17.399999999999999" customHeight="1">
      <c r="A102" s="274">
        <v>3288</v>
      </c>
      <c r="B102" s="283" t="s">
        <v>23</v>
      </c>
      <c r="C102" s="283">
        <v>22</v>
      </c>
      <c r="D102" s="276">
        <v>7</v>
      </c>
      <c r="E102" s="261" t="s">
        <v>633</v>
      </c>
      <c r="F102" s="309" t="s">
        <v>351</v>
      </c>
      <c r="G102" s="319">
        <v>43390</v>
      </c>
      <c r="H102" s="284">
        <v>43382</v>
      </c>
      <c r="I102" s="284"/>
      <c r="J102" s="278">
        <v>1</v>
      </c>
      <c r="K102" s="279">
        <v>1</v>
      </c>
      <c r="L102" s="285">
        <f t="shared" si="6"/>
        <v>18.5</v>
      </c>
      <c r="M102" s="286">
        <f t="shared" si="7"/>
        <v>0.74</v>
      </c>
      <c r="N102" s="281">
        <v>4</v>
      </c>
      <c r="O102" s="320">
        <v>43389</v>
      </c>
      <c r="P102" s="316">
        <v>1</v>
      </c>
      <c r="Q102" s="276">
        <v>5</v>
      </c>
      <c r="R102" s="276">
        <v>1</v>
      </c>
      <c r="S102" s="276">
        <v>0</v>
      </c>
      <c r="T102" s="276">
        <v>4</v>
      </c>
      <c r="U102" s="276">
        <v>1</v>
      </c>
      <c r="V102" s="276">
        <v>2</v>
      </c>
      <c r="W102" s="276">
        <v>0.5</v>
      </c>
      <c r="X102" s="328">
        <v>2</v>
      </c>
      <c r="Y102" s="282">
        <v>2</v>
      </c>
    </row>
    <row r="103" spans="1:25" s="273" customFormat="1" ht="17.399999999999999" customHeight="1">
      <c r="A103" s="274">
        <v>3292</v>
      </c>
      <c r="B103" s="283" t="s">
        <v>23</v>
      </c>
      <c r="C103" s="283">
        <v>23</v>
      </c>
      <c r="D103" s="276">
        <v>8</v>
      </c>
      <c r="E103" s="261" t="s">
        <v>634</v>
      </c>
      <c r="F103" s="309" t="s">
        <v>0</v>
      </c>
      <c r="G103" s="319">
        <v>43390</v>
      </c>
      <c r="H103" s="284">
        <v>43381</v>
      </c>
      <c r="I103" s="284"/>
      <c r="J103" s="278">
        <v>1</v>
      </c>
      <c r="K103" s="279">
        <v>1</v>
      </c>
      <c r="L103" s="285">
        <f t="shared" si="6"/>
        <v>24</v>
      </c>
      <c r="M103" s="286">
        <f t="shared" si="7"/>
        <v>0.96</v>
      </c>
      <c r="N103" s="281">
        <v>5</v>
      </c>
      <c r="O103" s="320">
        <v>43389</v>
      </c>
      <c r="P103" s="316">
        <v>1</v>
      </c>
      <c r="Q103" s="276">
        <v>4</v>
      </c>
      <c r="R103" s="276">
        <v>4</v>
      </c>
      <c r="S103" s="276">
        <v>2</v>
      </c>
      <c r="T103" s="276">
        <v>4</v>
      </c>
      <c r="U103" s="276">
        <v>1</v>
      </c>
      <c r="V103" s="276">
        <v>3</v>
      </c>
      <c r="W103" s="276">
        <v>1</v>
      </c>
      <c r="X103" s="328">
        <v>2</v>
      </c>
      <c r="Y103" s="282">
        <v>2</v>
      </c>
    </row>
    <row r="104" spans="1:25" s="273" customFormat="1" ht="17.399999999999999" customHeight="1">
      <c r="A104" s="274">
        <v>3289</v>
      </c>
      <c r="B104" s="283" t="s">
        <v>23</v>
      </c>
      <c r="C104" s="283">
        <v>24</v>
      </c>
      <c r="D104" s="276">
        <v>7</v>
      </c>
      <c r="E104" s="261" t="s">
        <v>439</v>
      </c>
      <c r="F104" s="309" t="s">
        <v>68</v>
      </c>
      <c r="G104" s="319">
        <v>43390</v>
      </c>
      <c r="H104" s="284">
        <v>43388</v>
      </c>
      <c r="I104" s="284"/>
      <c r="J104" s="278">
        <v>1</v>
      </c>
      <c r="K104" s="279">
        <v>1</v>
      </c>
      <c r="L104" s="285">
        <f t="shared" si="6"/>
        <v>20</v>
      </c>
      <c r="M104" s="286">
        <f t="shared" si="7"/>
        <v>0.8</v>
      </c>
      <c r="N104" s="281">
        <v>4</v>
      </c>
      <c r="O104" s="320">
        <v>43389</v>
      </c>
      <c r="P104" s="316">
        <v>1</v>
      </c>
      <c r="Q104" s="276">
        <v>0</v>
      </c>
      <c r="R104" s="276">
        <v>4</v>
      </c>
      <c r="S104" s="276">
        <v>2</v>
      </c>
      <c r="T104" s="276">
        <v>4</v>
      </c>
      <c r="U104" s="276">
        <v>1</v>
      </c>
      <c r="V104" s="276">
        <v>3</v>
      </c>
      <c r="W104" s="276">
        <v>1</v>
      </c>
      <c r="X104" s="328">
        <v>2</v>
      </c>
      <c r="Y104" s="282">
        <v>2</v>
      </c>
    </row>
    <row r="105" spans="1:25" s="273" customFormat="1" ht="17.399999999999999" customHeight="1">
      <c r="A105" s="274">
        <v>3290</v>
      </c>
      <c r="B105" s="283" t="s">
        <v>23</v>
      </c>
      <c r="C105" s="283">
        <v>25</v>
      </c>
      <c r="D105" s="276">
        <v>13</v>
      </c>
      <c r="E105" s="261" t="s">
        <v>635</v>
      </c>
      <c r="F105" s="309" t="s">
        <v>16</v>
      </c>
      <c r="G105" s="319">
        <v>43390</v>
      </c>
      <c r="H105" s="277">
        <v>43384</v>
      </c>
      <c r="I105" s="284"/>
      <c r="J105" s="278">
        <v>1</v>
      </c>
      <c r="K105" s="279">
        <v>1</v>
      </c>
      <c r="L105" s="285">
        <f t="shared" si="6"/>
        <v>23.5</v>
      </c>
      <c r="M105" s="286">
        <f t="shared" si="7"/>
        <v>0.94</v>
      </c>
      <c r="N105" s="281">
        <v>5</v>
      </c>
      <c r="O105" s="320">
        <v>43389</v>
      </c>
      <c r="P105" s="316">
        <v>1</v>
      </c>
      <c r="Q105" s="276">
        <v>5</v>
      </c>
      <c r="R105" s="276">
        <v>3</v>
      </c>
      <c r="S105" s="276">
        <v>2</v>
      </c>
      <c r="T105" s="276">
        <v>4</v>
      </c>
      <c r="U105" s="276">
        <v>1</v>
      </c>
      <c r="V105" s="276">
        <v>3</v>
      </c>
      <c r="W105" s="276">
        <v>0.5</v>
      </c>
      <c r="X105" s="328">
        <v>2</v>
      </c>
      <c r="Y105" s="282">
        <v>2</v>
      </c>
    </row>
    <row r="106" spans="1:25" s="273" customFormat="1" ht="17.399999999999999" customHeight="1">
      <c r="A106" s="274">
        <v>3291</v>
      </c>
      <c r="B106" s="283" t="s">
        <v>23</v>
      </c>
      <c r="C106" s="283">
        <v>26</v>
      </c>
      <c r="D106" s="276">
        <v>8</v>
      </c>
      <c r="E106" s="261" t="s">
        <v>636</v>
      </c>
      <c r="F106" s="309" t="s">
        <v>186</v>
      </c>
      <c r="G106" s="319">
        <v>43390</v>
      </c>
      <c r="H106" s="277">
        <v>43381</v>
      </c>
      <c r="I106" s="284"/>
      <c r="J106" s="278">
        <v>1</v>
      </c>
      <c r="K106" s="279">
        <v>1</v>
      </c>
      <c r="L106" s="285">
        <f t="shared" si="6"/>
        <v>21</v>
      </c>
      <c r="M106" s="286">
        <f t="shared" si="7"/>
        <v>0.84</v>
      </c>
      <c r="N106" s="281">
        <v>4</v>
      </c>
      <c r="O106" s="320">
        <v>43389</v>
      </c>
      <c r="P106" s="316">
        <v>1</v>
      </c>
      <c r="Q106" s="276">
        <v>5</v>
      </c>
      <c r="R106" s="276">
        <v>2</v>
      </c>
      <c r="S106" s="276">
        <v>1</v>
      </c>
      <c r="T106" s="276">
        <v>3</v>
      </c>
      <c r="U106" s="276">
        <v>1</v>
      </c>
      <c r="V106" s="276">
        <v>3</v>
      </c>
      <c r="W106" s="276">
        <v>1</v>
      </c>
      <c r="X106" s="328">
        <v>2</v>
      </c>
      <c r="Y106" s="282">
        <v>2</v>
      </c>
    </row>
    <row r="107" spans="1:25" s="273" customFormat="1" ht="17.399999999999999" customHeight="1">
      <c r="A107" s="274">
        <v>3293</v>
      </c>
      <c r="B107" s="283" t="s">
        <v>23</v>
      </c>
      <c r="C107" s="283">
        <v>27</v>
      </c>
      <c r="D107" s="276">
        <v>8</v>
      </c>
      <c r="E107" s="261" t="s">
        <v>583</v>
      </c>
      <c r="F107" s="309" t="s">
        <v>693</v>
      </c>
      <c r="G107" s="319">
        <v>43390</v>
      </c>
      <c r="H107" s="284">
        <v>43381</v>
      </c>
      <c r="I107" s="284"/>
      <c r="J107" s="278">
        <v>1</v>
      </c>
      <c r="K107" s="279">
        <v>1</v>
      </c>
      <c r="L107" s="285">
        <f t="shared" si="6"/>
        <v>10.5</v>
      </c>
      <c r="M107" s="286">
        <f t="shared" si="7"/>
        <v>0.42</v>
      </c>
      <c r="N107" s="281">
        <v>2</v>
      </c>
      <c r="O107" s="320">
        <v>43389</v>
      </c>
      <c r="P107" s="316">
        <v>1</v>
      </c>
      <c r="Q107" s="276">
        <v>0</v>
      </c>
      <c r="R107" s="276">
        <v>1</v>
      </c>
      <c r="S107" s="276">
        <v>0</v>
      </c>
      <c r="T107" s="276">
        <v>2</v>
      </c>
      <c r="U107" s="276">
        <v>1</v>
      </c>
      <c r="V107" s="276">
        <v>3</v>
      </c>
      <c r="W107" s="276">
        <v>0.5</v>
      </c>
      <c r="X107" s="328">
        <v>2</v>
      </c>
      <c r="Y107" s="282"/>
    </row>
    <row r="108" spans="1:25" s="273" customFormat="1" ht="17.399999999999999" customHeight="1">
      <c r="A108" s="274">
        <v>3295</v>
      </c>
      <c r="B108" s="283" t="s">
        <v>23</v>
      </c>
      <c r="C108" s="283">
        <v>29</v>
      </c>
      <c r="D108" s="276">
        <v>13</v>
      </c>
      <c r="E108" s="261" t="s">
        <v>60</v>
      </c>
      <c r="F108" s="309" t="s">
        <v>148</v>
      </c>
      <c r="G108" s="319">
        <v>43390</v>
      </c>
      <c r="H108" s="277">
        <v>43389</v>
      </c>
      <c r="I108" s="276"/>
      <c r="J108" s="278">
        <v>1</v>
      </c>
      <c r="K108" s="279">
        <v>1</v>
      </c>
      <c r="L108" s="278">
        <f t="shared" si="6"/>
        <v>23.5</v>
      </c>
      <c r="M108" s="286">
        <f t="shared" si="7"/>
        <v>0.94</v>
      </c>
      <c r="N108" s="281">
        <v>5</v>
      </c>
      <c r="O108" s="320">
        <v>43389</v>
      </c>
      <c r="P108" s="314">
        <v>1</v>
      </c>
      <c r="Q108" s="276">
        <v>5</v>
      </c>
      <c r="R108" s="276">
        <v>4</v>
      </c>
      <c r="S108" s="276">
        <v>1</v>
      </c>
      <c r="T108" s="276">
        <v>4</v>
      </c>
      <c r="U108" s="276">
        <v>1</v>
      </c>
      <c r="V108" s="276">
        <v>3</v>
      </c>
      <c r="W108" s="276">
        <v>0.5</v>
      </c>
      <c r="X108" s="328">
        <v>2</v>
      </c>
      <c r="Y108" s="282">
        <v>2</v>
      </c>
    </row>
    <row r="109" spans="1:25" s="273" customFormat="1" ht="17.399999999999999" customHeight="1">
      <c r="A109" s="274">
        <v>3296</v>
      </c>
      <c r="B109" s="283" t="s">
        <v>23</v>
      </c>
      <c r="C109" s="283">
        <v>30</v>
      </c>
      <c r="D109" s="276">
        <v>13</v>
      </c>
      <c r="E109" s="261" t="s">
        <v>637</v>
      </c>
      <c r="F109" s="309" t="s">
        <v>0</v>
      </c>
      <c r="G109" s="319">
        <v>43390</v>
      </c>
      <c r="H109" s="284">
        <v>43387</v>
      </c>
      <c r="I109" s="284"/>
      <c r="J109" s="278">
        <v>1</v>
      </c>
      <c r="K109" s="279">
        <v>1</v>
      </c>
      <c r="L109" s="285">
        <f t="shared" si="6"/>
        <v>20</v>
      </c>
      <c r="M109" s="286">
        <f t="shared" si="7"/>
        <v>0.8</v>
      </c>
      <c r="N109" s="281">
        <v>4</v>
      </c>
      <c r="O109" s="320">
        <v>43389</v>
      </c>
      <c r="P109" s="316">
        <v>1</v>
      </c>
      <c r="Q109" s="276">
        <v>5</v>
      </c>
      <c r="R109" s="276">
        <v>1</v>
      </c>
      <c r="S109" s="276">
        <v>0</v>
      </c>
      <c r="T109" s="276">
        <v>4</v>
      </c>
      <c r="U109" s="276">
        <v>1</v>
      </c>
      <c r="V109" s="276">
        <v>3</v>
      </c>
      <c r="W109" s="276">
        <v>1</v>
      </c>
      <c r="X109" s="328">
        <v>2</v>
      </c>
      <c r="Y109" s="282">
        <v>2</v>
      </c>
    </row>
    <row r="110" spans="1:25" s="273" customFormat="1" ht="17.399999999999999" customHeight="1">
      <c r="A110" s="274">
        <v>3298</v>
      </c>
      <c r="B110" s="283" t="s">
        <v>23</v>
      </c>
      <c r="C110" s="283">
        <v>31</v>
      </c>
      <c r="D110" s="276">
        <v>8</v>
      </c>
      <c r="E110" s="261" t="s">
        <v>638</v>
      </c>
      <c r="F110" s="309" t="s">
        <v>639</v>
      </c>
      <c r="G110" s="319">
        <v>43390</v>
      </c>
      <c r="H110" s="277">
        <v>43387</v>
      </c>
      <c r="I110" s="284"/>
      <c r="J110" s="278">
        <v>1</v>
      </c>
      <c r="K110" s="279">
        <v>1</v>
      </c>
      <c r="L110" s="285">
        <f t="shared" si="6"/>
        <v>20</v>
      </c>
      <c r="M110" s="286">
        <f t="shared" si="7"/>
        <v>0.8</v>
      </c>
      <c r="N110" s="281">
        <v>4</v>
      </c>
      <c r="O110" s="320">
        <v>43389</v>
      </c>
      <c r="P110" s="314">
        <v>1</v>
      </c>
      <c r="Q110" s="276">
        <v>0</v>
      </c>
      <c r="R110" s="276">
        <v>4</v>
      </c>
      <c r="S110" s="276">
        <v>2</v>
      </c>
      <c r="T110" s="276">
        <v>4</v>
      </c>
      <c r="U110" s="276">
        <v>1</v>
      </c>
      <c r="V110" s="276">
        <v>3</v>
      </c>
      <c r="W110" s="276">
        <v>1</v>
      </c>
      <c r="X110" s="328">
        <v>2</v>
      </c>
      <c r="Y110" s="282">
        <v>2</v>
      </c>
    </row>
    <row r="111" spans="1:25" s="273" customFormat="1" ht="17.399999999999999" customHeight="1" thickBot="1">
      <c r="A111" s="288">
        <v>3297</v>
      </c>
      <c r="B111" s="297" t="s">
        <v>23</v>
      </c>
      <c r="C111" s="297">
        <v>32</v>
      </c>
      <c r="D111" s="290">
        <v>8</v>
      </c>
      <c r="E111" s="263" t="s">
        <v>640</v>
      </c>
      <c r="F111" s="312" t="s">
        <v>68</v>
      </c>
      <c r="G111" s="321">
        <v>43390</v>
      </c>
      <c r="H111" s="291">
        <v>43381</v>
      </c>
      <c r="I111" s="298"/>
      <c r="J111" s="292">
        <v>1</v>
      </c>
      <c r="K111" s="293">
        <v>1</v>
      </c>
      <c r="L111" s="299">
        <f t="shared" si="6"/>
        <v>20</v>
      </c>
      <c r="M111" s="300">
        <f t="shared" si="7"/>
        <v>0.8</v>
      </c>
      <c r="N111" s="295">
        <v>4</v>
      </c>
      <c r="O111" s="322">
        <v>43389</v>
      </c>
      <c r="P111" s="315">
        <v>1</v>
      </c>
      <c r="Q111" s="290">
        <v>5</v>
      </c>
      <c r="R111" s="290">
        <v>1</v>
      </c>
      <c r="S111" s="290">
        <v>0</v>
      </c>
      <c r="T111" s="290">
        <v>4</v>
      </c>
      <c r="U111" s="290">
        <v>1</v>
      </c>
      <c r="V111" s="290">
        <v>3</v>
      </c>
      <c r="W111" s="290">
        <v>1</v>
      </c>
      <c r="X111" s="329">
        <v>2</v>
      </c>
      <c r="Y111" s="296">
        <v>2</v>
      </c>
    </row>
    <row r="112" spans="1:25" s="273" customFormat="1" ht="17.399999999999999" customHeight="1" thickTop="1">
      <c r="A112" s="264">
        <v>3299</v>
      </c>
      <c r="B112" s="265" t="s">
        <v>24</v>
      </c>
      <c r="C112" s="265">
        <v>1</v>
      </c>
      <c r="D112" s="266">
        <v>10</v>
      </c>
      <c r="E112" s="259" t="s">
        <v>112</v>
      </c>
      <c r="F112" s="307" t="s">
        <v>15</v>
      </c>
      <c r="G112" s="317">
        <v>43390</v>
      </c>
      <c r="H112" s="267">
        <v>43387</v>
      </c>
      <c r="I112" s="267"/>
      <c r="J112" s="268">
        <v>1</v>
      </c>
      <c r="K112" s="269">
        <v>1</v>
      </c>
      <c r="L112" s="268">
        <f t="shared" si="6"/>
        <v>13</v>
      </c>
      <c r="M112" s="270">
        <f t="shared" si="7"/>
        <v>0.52</v>
      </c>
      <c r="N112" s="271" t="s">
        <v>31</v>
      </c>
      <c r="O112" s="318">
        <v>43389</v>
      </c>
      <c r="P112" s="313">
        <v>1</v>
      </c>
      <c r="Q112" s="266">
        <v>0</v>
      </c>
      <c r="R112" s="266">
        <v>2</v>
      </c>
      <c r="S112" s="266">
        <v>0</v>
      </c>
      <c r="T112" s="266">
        <v>4</v>
      </c>
      <c r="U112" s="266">
        <v>1</v>
      </c>
      <c r="V112" s="266">
        <v>3</v>
      </c>
      <c r="W112" s="266">
        <v>1</v>
      </c>
      <c r="X112" s="330">
        <v>0</v>
      </c>
      <c r="Y112" s="272">
        <v>1</v>
      </c>
    </row>
    <row r="113" spans="1:25" s="273" customFormat="1" ht="17.399999999999999" customHeight="1">
      <c r="A113" s="274">
        <v>3300</v>
      </c>
      <c r="B113" s="283" t="s">
        <v>24</v>
      </c>
      <c r="C113" s="283">
        <v>2</v>
      </c>
      <c r="D113" s="276">
        <v>9</v>
      </c>
      <c r="E113" s="261" t="s">
        <v>641</v>
      </c>
      <c r="F113" s="309" t="s">
        <v>694</v>
      </c>
      <c r="G113" s="319">
        <v>43390</v>
      </c>
      <c r="H113" s="277"/>
      <c r="I113" s="277" t="s">
        <v>208</v>
      </c>
      <c r="J113" s="278">
        <v>1</v>
      </c>
      <c r="K113" s="279">
        <v>0.1</v>
      </c>
      <c r="L113" s="285">
        <f t="shared" si="6"/>
        <v>0</v>
      </c>
      <c r="M113" s="286">
        <f t="shared" si="7"/>
        <v>0</v>
      </c>
      <c r="N113" s="281">
        <v>1</v>
      </c>
      <c r="O113" s="320">
        <v>43392</v>
      </c>
      <c r="P113" s="314"/>
      <c r="Q113" s="276"/>
      <c r="R113" s="276"/>
      <c r="S113" s="276"/>
      <c r="T113" s="276"/>
      <c r="U113" s="276"/>
      <c r="V113" s="276"/>
      <c r="W113" s="276"/>
      <c r="X113" s="328"/>
      <c r="Y113" s="282"/>
    </row>
    <row r="114" spans="1:25" s="273" customFormat="1" ht="17.399999999999999" customHeight="1">
      <c r="A114" s="331">
        <v>3300</v>
      </c>
      <c r="B114" s="332" t="s">
        <v>24</v>
      </c>
      <c r="C114" s="332">
        <v>2</v>
      </c>
      <c r="D114" s="333">
        <v>9</v>
      </c>
      <c r="E114" s="334" t="s">
        <v>641</v>
      </c>
      <c r="F114" s="335" t="s">
        <v>694</v>
      </c>
      <c r="G114" s="336"/>
      <c r="H114" s="337">
        <v>43395</v>
      </c>
      <c r="I114" s="337"/>
      <c r="J114" s="338">
        <v>2</v>
      </c>
      <c r="K114" s="339">
        <v>0.9</v>
      </c>
      <c r="L114" s="338">
        <f t="shared" si="6"/>
        <v>16</v>
      </c>
      <c r="M114" s="340">
        <f t="shared" si="7"/>
        <v>0.64</v>
      </c>
      <c r="N114" s="341">
        <v>3</v>
      </c>
      <c r="O114" s="342">
        <v>43395</v>
      </c>
      <c r="P114" s="343">
        <v>1</v>
      </c>
      <c r="Q114" s="333">
        <v>3</v>
      </c>
      <c r="R114" s="333">
        <v>1</v>
      </c>
      <c r="S114" s="333">
        <v>0</v>
      </c>
      <c r="T114" s="333">
        <v>4</v>
      </c>
      <c r="U114" s="333">
        <v>1</v>
      </c>
      <c r="V114" s="333">
        <v>3</v>
      </c>
      <c r="W114" s="333">
        <v>1</v>
      </c>
      <c r="X114" s="333">
        <v>2</v>
      </c>
      <c r="Y114" s="344"/>
    </row>
    <row r="115" spans="1:25" s="273" customFormat="1" ht="17.399999999999999" customHeight="1">
      <c r="A115" s="274">
        <v>3301</v>
      </c>
      <c r="B115" s="283" t="s">
        <v>24</v>
      </c>
      <c r="C115" s="283">
        <v>3</v>
      </c>
      <c r="D115" s="276">
        <v>9</v>
      </c>
      <c r="E115" s="287" t="s">
        <v>642</v>
      </c>
      <c r="F115" s="310" t="s">
        <v>128</v>
      </c>
      <c r="G115" s="319">
        <v>43390</v>
      </c>
      <c r="H115" s="277">
        <v>43382</v>
      </c>
      <c r="I115" s="284"/>
      <c r="J115" s="278">
        <v>1</v>
      </c>
      <c r="K115" s="279">
        <v>1</v>
      </c>
      <c r="L115" s="285">
        <f t="shared" si="6"/>
        <v>20</v>
      </c>
      <c r="M115" s="286">
        <f t="shared" si="7"/>
        <v>0.8</v>
      </c>
      <c r="N115" s="281">
        <v>4</v>
      </c>
      <c r="O115" s="320">
        <v>43389</v>
      </c>
      <c r="P115" s="314">
        <v>1</v>
      </c>
      <c r="Q115" s="276">
        <v>5</v>
      </c>
      <c r="R115" s="276">
        <v>1</v>
      </c>
      <c r="S115" s="276">
        <v>0</v>
      </c>
      <c r="T115" s="276">
        <v>4</v>
      </c>
      <c r="U115" s="276">
        <v>1</v>
      </c>
      <c r="V115" s="276">
        <v>3</v>
      </c>
      <c r="W115" s="276">
        <v>1</v>
      </c>
      <c r="X115" s="328">
        <v>2</v>
      </c>
      <c r="Y115" s="282">
        <v>2</v>
      </c>
    </row>
    <row r="116" spans="1:25" s="273" customFormat="1" ht="17.399999999999999" customHeight="1">
      <c r="A116" s="274">
        <v>3302</v>
      </c>
      <c r="B116" s="283" t="s">
        <v>24</v>
      </c>
      <c r="C116" s="283">
        <v>4</v>
      </c>
      <c r="D116" s="276">
        <v>10</v>
      </c>
      <c r="E116" s="261" t="s">
        <v>643</v>
      </c>
      <c r="F116" s="309" t="s">
        <v>14</v>
      </c>
      <c r="G116" s="319">
        <v>43390</v>
      </c>
      <c r="H116" s="277">
        <v>43387</v>
      </c>
      <c r="I116" s="284"/>
      <c r="J116" s="278">
        <v>1</v>
      </c>
      <c r="K116" s="279">
        <v>1</v>
      </c>
      <c r="L116" s="285">
        <f t="shared" si="6"/>
        <v>13</v>
      </c>
      <c r="M116" s="286">
        <f t="shared" si="7"/>
        <v>0.52</v>
      </c>
      <c r="N116" s="281" t="s">
        <v>31</v>
      </c>
      <c r="O116" s="320">
        <v>43389</v>
      </c>
      <c r="P116" s="314">
        <v>1</v>
      </c>
      <c r="Q116" s="276">
        <v>5</v>
      </c>
      <c r="R116" s="276">
        <v>0</v>
      </c>
      <c r="S116" s="276">
        <v>0</v>
      </c>
      <c r="T116" s="276">
        <v>1</v>
      </c>
      <c r="U116" s="276">
        <v>1</v>
      </c>
      <c r="V116" s="276">
        <v>3</v>
      </c>
      <c r="W116" s="276">
        <v>1</v>
      </c>
      <c r="X116" s="328">
        <v>0</v>
      </c>
      <c r="Y116" s="282">
        <v>1</v>
      </c>
    </row>
    <row r="117" spans="1:25" s="273" customFormat="1" ht="17.399999999999999" customHeight="1">
      <c r="A117" s="274">
        <v>3324</v>
      </c>
      <c r="B117" s="283" t="s">
        <v>24</v>
      </c>
      <c r="C117" s="283">
        <v>5</v>
      </c>
      <c r="D117" s="276">
        <v>10</v>
      </c>
      <c r="E117" s="261" t="s">
        <v>644</v>
      </c>
      <c r="F117" s="309" t="s">
        <v>19</v>
      </c>
      <c r="G117" s="319">
        <v>43390</v>
      </c>
      <c r="H117" s="277"/>
      <c r="I117" s="277" t="s">
        <v>208</v>
      </c>
      <c r="J117" s="278">
        <v>1</v>
      </c>
      <c r="K117" s="279">
        <v>0.2</v>
      </c>
      <c r="L117" s="285">
        <f t="shared" si="6"/>
        <v>0</v>
      </c>
      <c r="M117" s="286">
        <f t="shared" si="7"/>
        <v>0</v>
      </c>
      <c r="N117" s="281">
        <v>1</v>
      </c>
      <c r="O117" s="320">
        <v>43392</v>
      </c>
      <c r="P117" s="314"/>
      <c r="Q117" s="276"/>
      <c r="R117" s="276"/>
      <c r="S117" s="276"/>
      <c r="T117" s="276"/>
      <c r="U117" s="276"/>
      <c r="V117" s="276"/>
      <c r="W117" s="276"/>
      <c r="X117" s="328"/>
      <c r="Y117" s="282"/>
    </row>
    <row r="118" spans="1:25" s="273" customFormat="1" ht="17.399999999999999" customHeight="1">
      <c r="A118" s="331">
        <v>3324</v>
      </c>
      <c r="B118" s="332" t="s">
        <v>24</v>
      </c>
      <c r="C118" s="332">
        <v>5</v>
      </c>
      <c r="D118" s="333">
        <v>10</v>
      </c>
      <c r="E118" s="334" t="s">
        <v>644</v>
      </c>
      <c r="F118" s="335" t="s">
        <v>19</v>
      </c>
      <c r="G118" s="336"/>
      <c r="H118" s="337">
        <v>43418</v>
      </c>
      <c r="I118" s="337"/>
      <c r="J118" s="338">
        <v>2</v>
      </c>
      <c r="K118" s="339">
        <v>0.8</v>
      </c>
      <c r="L118" s="338">
        <f t="shared" si="6"/>
        <v>20</v>
      </c>
      <c r="M118" s="340">
        <f t="shared" si="7"/>
        <v>0.8</v>
      </c>
      <c r="N118" s="341">
        <v>4</v>
      </c>
      <c r="O118" s="342">
        <v>43418</v>
      </c>
      <c r="P118" s="343">
        <v>1</v>
      </c>
      <c r="Q118" s="333">
        <v>3</v>
      </c>
      <c r="R118" s="333">
        <v>4</v>
      </c>
      <c r="S118" s="333">
        <v>0</v>
      </c>
      <c r="T118" s="333">
        <v>4</v>
      </c>
      <c r="U118" s="333">
        <v>1</v>
      </c>
      <c r="V118" s="333">
        <v>3</v>
      </c>
      <c r="W118" s="333">
        <v>0</v>
      </c>
      <c r="X118" s="333">
        <v>2</v>
      </c>
      <c r="Y118" s="344">
        <v>2</v>
      </c>
    </row>
    <row r="119" spans="1:25" s="273" customFormat="1" ht="17.399999999999999" customHeight="1">
      <c r="A119" s="274">
        <v>3303</v>
      </c>
      <c r="B119" s="283" t="s">
        <v>24</v>
      </c>
      <c r="C119" s="283">
        <v>6</v>
      </c>
      <c r="D119" s="276">
        <v>10</v>
      </c>
      <c r="E119" s="261" t="s">
        <v>645</v>
      </c>
      <c r="F119" s="309" t="s">
        <v>12</v>
      </c>
      <c r="G119" s="319">
        <v>43390</v>
      </c>
      <c r="H119" s="284">
        <v>43387</v>
      </c>
      <c r="I119" s="284"/>
      <c r="J119" s="278">
        <v>1</v>
      </c>
      <c r="K119" s="279">
        <v>1</v>
      </c>
      <c r="L119" s="285">
        <f t="shared" si="6"/>
        <v>23</v>
      </c>
      <c r="M119" s="286">
        <f t="shared" si="7"/>
        <v>0.92</v>
      </c>
      <c r="N119" s="281" t="s">
        <v>33</v>
      </c>
      <c r="O119" s="320">
        <v>43389</v>
      </c>
      <c r="P119" s="314">
        <v>1</v>
      </c>
      <c r="Q119" s="276">
        <v>4</v>
      </c>
      <c r="R119" s="276">
        <v>4</v>
      </c>
      <c r="S119" s="276">
        <v>2</v>
      </c>
      <c r="T119" s="276">
        <v>4</v>
      </c>
      <c r="U119" s="276">
        <v>1</v>
      </c>
      <c r="V119" s="276">
        <v>3</v>
      </c>
      <c r="W119" s="276">
        <v>1</v>
      </c>
      <c r="X119" s="328">
        <v>2</v>
      </c>
      <c r="Y119" s="282">
        <v>1</v>
      </c>
    </row>
    <row r="120" spans="1:25" s="273" customFormat="1" ht="17.399999999999999" customHeight="1">
      <c r="A120" s="274">
        <v>3304</v>
      </c>
      <c r="B120" s="283" t="s">
        <v>24</v>
      </c>
      <c r="C120" s="283">
        <v>7</v>
      </c>
      <c r="D120" s="276">
        <v>10</v>
      </c>
      <c r="E120" s="261" t="s">
        <v>426</v>
      </c>
      <c r="F120" s="309" t="s">
        <v>15</v>
      </c>
      <c r="G120" s="319">
        <v>43390</v>
      </c>
      <c r="H120" s="277">
        <v>43390</v>
      </c>
      <c r="I120" s="284"/>
      <c r="J120" s="278">
        <v>1</v>
      </c>
      <c r="K120" s="279">
        <v>1</v>
      </c>
      <c r="L120" s="285">
        <f t="shared" si="6"/>
        <v>18.5</v>
      </c>
      <c r="M120" s="286">
        <f t="shared" si="7"/>
        <v>0.74</v>
      </c>
      <c r="N120" s="281">
        <v>4</v>
      </c>
      <c r="O120" s="320">
        <v>43392</v>
      </c>
      <c r="P120" s="314">
        <v>1</v>
      </c>
      <c r="Q120" s="276">
        <v>5</v>
      </c>
      <c r="R120" s="276">
        <v>1</v>
      </c>
      <c r="S120" s="276">
        <v>0</v>
      </c>
      <c r="T120" s="276">
        <v>4</v>
      </c>
      <c r="U120" s="276">
        <v>1</v>
      </c>
      <c r="V120" s="276">
        <v>3</v>
      </c>
      <c r="W120" s="276">
        <v>0.5</v>
      </c>
      <c r="X120" s="328">
        <v>1</v>
      </c>
      <c r="Y120" s="282">
        <v>2</v>
      </c>
    </row>
    <row r="121" spans="1:25" s="273" customFormat="1" ht="17.399999999999999" customHeight="1">
      <c r="A121" s="274">
        <v>3305</v>
      </c>
      <c r="B121" s="283" t="s">
        <v>24</v>
      </c>
      <c r="C121" s="283">
        <v>8</v>
      </c>
      <c r="D121" s="276">
        <v>9</v>
      </c>
      <c r="E121" s="261" t="s">
        <v>646</v>
      </c>
      <c r="F121" s="309" t="s">
        <v>685</v>
      </c>
      <c r="G121" s="319">
        <v>43390</v>
      </c>
      <c r="H121" s="277">
        <v>43386</v>
      </c>
      <c r="I121" s="284"/>
      <c r="J121" s="278">
        <v>1</v>
      </c>
      <c r="K121" s="279">
        <v>1</v>
      </c>
      <c r="L121" s="285">
        <f t="shared" si="6"/>
        <v>21.5</v>
      </c>
      <c r="M121" s="286">
        <f t="shared" si="7"/>
        <v>0.86</v>
      </c>
      <c r="N121" s="281" t="s">
        <v>34</v>
      </c>
      <c r="O121" s="320">
        <v>43389</v>
      </c>
      <c r="P121" s="314">
        <v>1</v>
      </c>
      <c r="Q121" s="276">
        <v>5</v>
      </c>
      <c r="R121" s="276">
        <v>4</v>
      </c>
      <c r="S121" s="276">
        <v>0</v>
      </c>
      <c r="T121" s="276">
        <v>4</v>
      </c>
      <c r="U121" s="276">
        <v>1</v>
      </c>
      <c r="V121" s="276">
        <v>2</v>
      </c>
      <c r="W121" s="276">
        <v>0.5</v>
      </c>
      <c r="X121" s="328">
        <v>2</v>
      </c>
      <c r="Y121" s="282">
        <v>2</v>
      </c>
    </row>
    <row r="122" spans="1:25" s="273" customFormat="1" ht="17.399999999999999" customHeight="1">
      <c r="A122" s="274">
        <v>3306</v>
      </c>
      <c r="B122" s="283" t="s">
        <v>24</v>
      </c>
      <c r="C122" s="283">
        <v>9</v>
      </c>
      <c r="D122" s="276">
        <v>10</v>
      </c>
      <c r="E122" s="261" t="s">
        <v>622</v>
      </c>
      <c r="F122" s="309" t="s">
        <v>385</v>
      </c>
      <c r="G122" s="319">
        <v>43390</v>
      </c>
      <c r="H122" s="277">
        <v>43389</v>
      </c>
      <c r="I122" s="284"/>
      <c r="J122" s="278">
        <v>1</v>
      </c>
      <c r="K122" s="279">
        <v>1</v>
      </c>
      <c r="L122" s="285">
        <f t="shared" si="6"/>
        <v>19</v>
      </c>
      <c r="M122" s="286">
        <f t="shared" si="7"/>
        <v>0.76</v>
      </c>
      <c r="N122" s="281">
        <v>4</v>
      </c>
      <c r="O122" s="320">
        <v>43389</v>
      </c>
      <c r="P122" s="314">
        <v>1</v>
      </c>
      <c r="Q122" s="276">
        <v>4</v>
      </c>
      <c r="R122" s="276">
        <v>2</v>
      </c>
      <c r="S122" s="276">
        <v>2</v>
      </c>
      <c r="T122" s="276">
        <v>3</v>
      </c>
      <c r="U122" s="276">
        <v>1</v>
      </c>
      <c r="V122" s="276">
        <v>3</v>
      </c>
      <c r="W122" s="276">
        <v>1</v>
      </c>
      <c r="X122" s="328">
        <v>2</v>
      </c>
      <c r="Y122" s="282"/>
    </row>
    <row r="123" spans="1:25" s="273" customFormat="1" ht="17.399999999999999" customHeight="1">
      <c r="A123" s="274">
        <v>3307</v>
      </c>
      <c r="B123" s="283" t="s">
        <v>24</v>
      </c>
      <c r="C123" s="283">
        <v>10</v>
      </c>
      <c r="D123" s="276">
        <v>10</v>
      </c>
      <c r="E123" s="261" t="s">
        <v>647</v>
      </c>
      <c r="F123" s="309" t="s">
        <v>188</v>
      </c>
      <c r="G123" s="319">
        <v>43390</v>
      </c>
      <c r="H123" s="277">
        <v>43387</v>
      </c>
      <c r="I123" s="284"/>
      <c r="J123" s="278">
        <v>1</v>
      </c>
      <c r="K123" s="279">
        <v>1</v>
      </c>
      <c r="L123" s="285">
        <f t="shared" si="6"/>
        <v>23</v>
      </c>
      <c r="M123" s="286">
        <f t="shared" si="7"/>
        <v>0.92</v>
      </c>
      <c r="N123" s="281" t="s">
        <v>33</v>
      </c>
      <c r="O123" s="320">
        <v>43389</v>
      </c>
      <c r="P123" s="314">
        <v>1</v>
      </c>
      <c r="Q123" s="276">
        <v>5</v>
      </c>
      <c r="R123" s="276">
        <v>4</v>
      </c>
      <c r="S123" s="276">
        <v>2</v>
      </c>
      <c r="T123" s="276">
        <v>4</v>
      </c>
      <c r="U123" s="276">
        <v>0</v>
      </c>
      <c r="V123" s="276">
        <v>3</v>
      </c>
      <c r="W123" s="276">
        <v>1</v>
      </c>
      <c r="X123" s="328">
        <v>2</v>
      </c>
      <c r="Y123" s="282">
        <v>1</v>
      </c>
    </row>
    <row r="124" spans="1:25" s="273" customFormat="1" ht="17.399999999999999" customHeight="1">
      <c r="A124" s="274">
        <v>3308</v>
      </c>
      <c r="B124" s="283" t="s">
        <v>24</v>
      </c>
      <c r="C124" s="283">
        <v>11</v>
      </c>
      <c r="D124" s="276">
        <v>9</v>
      </c>
      <c r="E124" s="261" t="s">
        <v>648</v>
      </c>
      <c r="F124" s="309" t="s">
        <v>12</v>
      </c>
      <c r="G124" s="319">
        <v>43390</v>
      </c>
      <c r="H124" s="284">
        <v>43387</v>
      </c>
      <c r="I124" s="284"/>
      <c r="J124" s="278">
        <v>1</v>
      </c>
      <c r="K124" s="279">
        <v>1</v>
      </c>
      <c r="L124" s="285">
        <f t="shared" si="6"/>
        <v>20</v>
      </c>
      <c r="M124" s="286">
        <f t="shared" si="7"/>
        <v>0.8</v>
      </c>
      <c r="N124" s="281">
        <v>4</v>
      </c>
      <c r="O124" s="320">
        <v>43389</v>
      </c>
      <c r="P124" s="314">
        <v>1</v>
      </c>
      <c r="Q124" s="276">
        <v>3</v>
      </c>
      <c r="R124" s="276">
        <v>3</v>
      </c>
      <c r="S124" s="276">
        <v>2</v>
      </c>
      <c r="T124" s="276">
        <v>4</v>
      </c>
      <c r="U124" s="276">
        <v>0</v>
      </c>
      <c r="V124" s="276">
        <v>3</v>
      </c>
      <c r="W124" s="276">
        <v>1</v>
      </c>
      <c r="X124" s="328">
        <v>2</v>
      </c>
      <c r="Y124" s="282">
        <v>1</v>
      </c>
    </row>
    <row r="125" spans="1:25" s="273" customFormat="1" ht="17.399999999999999" customHeight="1">
      <c r="A125" s="274">
        <v>3309</v>
      </c>
      <c r="B125" s="283" t="s">
        <v>24</v>
      </c>
      <c r="C125" s="283">
        <v>12</v>
      </c>
      <c r="D125" s="276">
        <v>9</v>
      </c>
      <c r="E125" s="261" t="s">
        <v>649</v>
      </c>
      <c r="F125" s="309" t="s">
        <v>347</v>
      </c>
      <c r="G125" s="319">
        <v>43390</v>
      </c>
      <c r="H125" s="277">
        <v>43382</v>
      </c>
      <c r="I125" s="284"/>
      <c r="J125" s="278">
        <v>1</v>
      </c>
      <c r="K125" s="279">
        <v>1</v>
      </c>
      <c r="L125" s="285">
        <f t="shared" si="6"/>
        <v>12.5</v>
      </c>
      <c r="M125" s="286">
        <f t="shared" si="7"/>
        <v>0.5</v>
      </c>
      <c r="N125" s="281" t="s">
        <v>31</v>
      </c>
      <c r="O125" s="320">
        <v>43389</v>
      </c>
      <c r="P125" s="314">
        <v>1</v>
      </c>
      <c r="Q125" s="276">
        <v>0</v>
      </c>
      <c r="R125" s="276">
        <v>1</v>
      </c>
      <c r="S125" s="276">
        <v>0</v>
      </c>
      <c r="T125" s="276">
        <v>4</v>
      </c>
      <c r="U125" s="276">
        <v>1</v>
      </c>
      <c r="V125" s="276">
        <v>2</v>
      </c>
      <c r="W125" s="276">
        <v>0.5</v>
      </c>
      <c r="X125" s="328">
        <v>2</v>
      </c>
      <c r="Y125" s="282">
        <v>1</v>
      </c>
    </row>
    <row r="126" spans="1:25" s="273" customFormat="1" ht="17.399999999999999" customHeight="1">
      <c r="A126" s="274">
        <v>3310</v>
      </c>
      <c r="B126" s="283" t="s">
        <v>24</v>
      </c>
      <c r="C126" s="283">
        <v>13</v>
      </c>
      <c r="D126" s="276">
        <v>9</v>
      </c>
      <c r="E126" s="287" t="s">
        <v>650</v>
      </c>
      <c r="F126" s="310" t="s">
        <v>9</v>
      </c>
      <c r="G126" s="319">
        <v>43390</v>
      </c>
      <c r="H126" s="277">
        <v>43390</v>
      </c>
      <c r="I126" s="284"/>
      <c r="J126" s="278">
        <v>1</v>
      </c>
      <c r="K126" s="279">
        <v>1</v>
      </c>
      <c r="L126" s="285">
        <f t="shared" si="6"/>
        <v>15</v>
      </c>
      <c r="M126" s="286">
        <f t="shared" si="7"/>
        <v>0.6</v>
      </c>
      <c r="N126" s="281">
        <v>3</v>
      </c>
      <c r="O126" s="320">
        <v>43392</v>
      </c>
      <c r="P126" s="314">
        <v>1</v>
      </c>
      <c r="Q126" s="276">
        <v>4</v>
      </c>
      <c r="R126" s="276">
        <v>1</v>
      </c>
      <c r="S126" s="276">
        <v>0</v>
      </c>
      <c r="T126" s="276">
        <v>4</v>
      </c>
      <c r="U126" s="276">
        <v>1</v>
      </c>
      <c r="V126" s="276">
        <v>1</v>
      </c>
      <c r="W126" s="276">
        <v>1</v>
      </c>
      <c r="X126" s="328">
        <v>2</v>
      </c>
      <c r="Y126" s="282"/>
    </row>
    <row r="127" spans="1:25" s="273" customFormat="1" ht="17.399999999999999" customHeight="1">
      <c r="A127" s="454">
        <v>3311</v>
      </c>
      <c r="B127" s="283" t="s">
        <v>24</v>
      </c>
      <c r="C127" s="283">
        <v>14</v>
      </c>
      <c r="D127" s="328">
        <v>10</v>
      </c>
      <c r="E127" s="287" t="s">
        <v>650</v>
      </c>
      <c r="F127" s="310" t="s">
        <v>385</v>
      </c>
      <c r="G127" s="455">
        <v>43390</v>
      </c>
      <c r="H127" s="284">
        <v>43388</v>
      </c>
      <c r="I127" s="284"/>
      <c r="J127" s="285">
        <v>1</v>
      </c>
      <c r="K127" s="456">
        <v>1</v>
      </c>
      <c r="L127" s="285">
        <f t="shared" si="6"/>
        <v>15</v>
      </c>
      <c r="M127" s="286">
        <f t="shared" si="7"/>
        <v>0.6</v>
      </c>
      <c r="N127" s="281">
        <v>3</v>
      </c>
      <c r="O127" s="320">
        <v>43389</v>
      </c>
      <c r="P127" s="314">
        <v>1</v>
      </c>
      <c r="Q127" s="276">
        <v>5</v>
      </c>
      <c r="R127" s="276">
        <v>1</v>
      </c>
      <c r="S127" s="276">
        <v>0</v>
      </c>
      <c r="T127" s="276">
        <v>4</v>
      </c>
      <c r="U127" s="276">
        <v>1</v>
      </c>
      <c r="V127" s="276">
        <v>0</v>
      </c>
      <c r="W127" s="276">
        <v>1</v>
      </c>
      <c r="X127" s="328">
        <v>0</v>
      </c>
      <c r="Y127" s="282">
        <v>2</v>
      </c>
    </row>
    <row r="128" spans="1:25" s="273" customFormat="1" ht="17.399999999999999" customHeight="1">
      <c r="A128" s="274">
        <v>3312</v>
      </c>
      <c r="B128" s="283" t="s">
        <v>24</v>
      </c>
      <c r="C128" s="283">
        <v>15</v>
      </c>
      <c r="D128" s="276">
        <v>9</v>
      </c>
      <c r="E128" s="261" t="s">
        <v>439</v>
      </c>
      <c r="F128" s="309" t="s">
        <v>66</v>
      </c>
      <c r="G128" s="319">
        <v>43390</v>
      </c>
      <c r="H128" s="277"/>
      <c r="I128" s="277" t="s">
        <v>208</v>
      </c>
      <c r="J128" s="278">
        <v>1</v>
      </c>
      <c r="K128" s="279">
        <v>0.35</v>
      </c>
      <c r="L128" s="285">
        <f t="shared" si="6"/>
        <v>0</v>
      </c>
      <c r="M128" s="286">
        <f t="shared" si="7"/>
        <v>0</v>
      </c>
      <c r="N128" s="281">
        <v>1</v>
      </c>
      <c r="O128" s="320">
        <v>43392</v>
      </c>
      <c r="P128" s="314"/>
      <c r="Q128" s="276"/>
      <c r="R128" s="276"/>
      <c r="S128" s="276"/>
      <c r="T128" s="276"/>
      <c r="U128" s="276"/>
      <c r="V128" s="276"/>
      <c r="W128" s="276"/>
      <c r="X128" s="328"/>
      <c r="Y128" s="282"/>
    </row>
    <row r="129" spans="1:25" s="273" customFormat="1" ht="17.399999999999999" customHeight="1">
      <c r="A129" s="274">
        <v>3312</v>
      </c>
      <c r="B129" s="283" t="s">
        <v>24</v>
      </c>
      <c r="C129" s="283">
        <v>15</v>
      </c>
      <c r="D129" s="276">
        <v>9</v>
      </c>
      <c r="E129" s="261" t="s">
        <v>439</v>
      </c>
      <c r="F129" s="309" t="s">
        <v>66</v>
      </c>
      <c r="G129" s="319"/>
      <c r="H129" s="277">
        <v>43474</v>
      </c>
      <c r="I129" s="277"/>
      <c r="J129" s="278">
        <v>2</v>
      </c>
      <c r="K129" s="279">
        <v>0.65</v>
      </c>
      <c r="L129" s="285">
        <f t="shared" si="6"/>
        <v>22</v>
      </c>
      <c r="M129" s="286">
        <f t="shared" si="7"/>
        <v>0.88</v>
      </c>
      <c r="N129" s="281" t="s">
        <v>34</v>
      </c>
      <c r="O129" s="320">
        <v>43475</v>
      </c>
      <c r="P129" s="314">
        <v>1</v>
      </c>
      <c r="Q129" s="276">
        <v>5</v>
      </c>
      <c r="R129" s="276">
        <v>4</v>
      </c>
      <c r="S129" s="276">
        <v>2</v>
      </c>
      <c r="T129" s="276">
        <v>4</v>
      </c>
      <c r="U129" s="276">
        <v>0</v>
      </c>
      <c r="V129" s="276">
        <v>3</v>
      </c>
      <c r="W129" s="276">
        <v>1</v>
      </c>
      <c r="X129" s="328">
        <v>0</v>
      </c>
      <c r="Y129" s="282">
        <v>2</v>
      </c>
    </row>
    <row r="130" spans="1:25" s="273" customFormat="1" ht="17.399999999999999" customHeight="1">
      <c r="A130" s="274">
        <v>3313</v>
      </c>
      <c r="B130" s="283" t="s">
        <v>24</v>
      </c>
      <c r="C130" s="283">
        <v>16</v>
      </c>
      <c r="D130" s="276">
        <v>9</v>
      </c>
      <c r="E130" s="261" t="s">
        <v>348</v>
      </c>
      <c r="F130" s="309" t="s">
        <v>16</v>
      </c>
      <c r="G130" s="319">
        <v>43390</v>
      </c>
      <c r="H130" s="284">
        <v>43387</v>
      </c>
      <c r="I130" s="284"/>
      <c r="J130" s="278">
        <v>1</v>
      </c>
      <c r="K130" s="279">
        <v>1</v>
      </c>
      <c r="L130" s="285">
        <f t="shared" si="6"/>
        <v>23</v>
      </c>
      <c r="M130" s="286">
        <f t="shared" si="7"/>
        <v>0.92</v>
      </c>
      <c r="N130" s="281" t="s">
        <v>33</v>
      </c>
      <c r="O130" s="320">
        <v>43389</v>
      </c>
      <c r="P130" s="314">
        <v>1</v>
      </c>
      <c r="Q130" s="276">
        <v>5</v>
      </c>
      <c r="R130" s="276">
        <v>4</v>
      </c>
      <c r="S130" s="276">
        <v>2</v>
      </c>
      <c r="T130" s="276">
        <v>3</v>
      </c>
      <c r="U130" s="276">
        <v>1</v>
      </c>
      <c r="V130" s="276">
        <v>3</v>
      </c>
      <c r="W130" s="276">
        <v>1</v>
      </c>
      <c r="X130" s="328">
        <v>2</v>
      </c>
      <c r="Y130" s="282">
        <v>1</v>
      </c>
    </row>
    <row r="131" spans="1:25" s="273" customFormat="1" ht="17.399999999999999" customHeight="1">
      <c r="A131" s="274">
        <v>3354</v>
      </c>
      <c r="B131" s="283" t="s">
        <v>24</v>
      </c>
      <c r="C131" s="283">
        <v>24</v>
      </c>
      <c r="D131" s="276">
        <v>9</v>
      </c>
      <c r="E131" s="261" t="s">
        <v>55</v>
      </c>
      <c r="F131" s="309" t="s">
        <v>599</v>
      </c>
      <c r="G131" s="319">
        <v>43434</v>
      </c>
      <c r="H131" s="284"/>
      <c r="I131" s="284" t="s">
        <v>208</v>
      </c>
      <c r="J131" s="278">
        <v>1</v>
      </c>
      <c r="K131" s="279">
        <v>0.1</v>
      </c>
      <c r="L131" s="285">
        <f t="shared" si="6"/>
        <v>0</v>
      </c>
      <c r="M131" s="286">
        <f t="shared" si="7"/>
        <v>0</v>
      </c>
      <c r="N131" s="281">
        <v>1</v>
      </c>
      <c r="O131" s="320">
        <v>43440</v>
      </c>
      <c r="P131" s="314"/>
      <c r="Q131" s="276"/>
      <c r="R131" s="276"/>
      <c r="S131" s="276"/>
      <c r="T131" s="276"/>
      <c r="U131" s="276"/>
      <c r="V131" s="276"/>
      <c r="W131" s="276"/>
      <c r="X131" s="328"/>
      <c r="Y131" s="282"/>
    </row>
    <row r="132" spans="1:25" s="273" customFormat="1" ht="17.399999999999999" customHeight="1">
      <c r="A132" s="274">
        <v>3354</v>
      </c>
      <c r="B132" s="283" t="s">
        <v>24</v>
      </c>
      <c r="C132" s="283">
        <v>24</v>
      </c>
      <c r="D132" s="276">
        <v>9</v>
      </c>
      <c r="E132" s="261" t="s">
        <v>55</v>
      </c>
      <c r="F132" s="309" t="s">
        <v>599</v>
      </c>
      <c r="G132" s="319"/>
      <c r="H132" s="284">
        <v>43445</v>
      </c>
      <c r="I132" s="284"/>
      <c r="J132" s="278">
        <v>2</v>
      </c>
      <c r="K132" s="279">
        <v>0.9</v>
      </c>
      <c r="L132" s="285">
        <f t="shared" si="6"/>
        <v>22</v>
      </c>
      <c r="M132" s="286">
        <f t="shared" si="7"/>
        <v>0.88</v>
      </c>
      <c r="N132" s="281" t="s">
        <v>34</v>
      </c>
      <c r="O132" s="320">
        <v>43447</v>
      </c>
      <c r="P132" s="314">
        <v>1</v>
      </c>
      <c r="Q132" s="276">
        <v>4</v>
      </c>
      <c r="R132" s="276">
        <v>4</v>
      </c>
      <c r="S132" s="276">
        <v>0</v>
      </c>
      <c r="T132" s="276">
        <v>4</v>
      </c>
      <c r="U132" s="276">
        <v>1</v>
      </c>
      <c r="V132" s="276">
        <v>3</v>
      </c>
      <c r="W132" s="276">
        <v>1</v>
      </c>
      <c r="X132" s="328">
        <v>2</v>
      </c>
      <c r="Y132" s="282">
        <v>2</v>
      </c>
    </row>
    <row r="133" spans="1:25" s="273" customFormat="1" ht="17.399999999999999" customHeight="1">
      <c r="A133" s="274">
        <v>3314</v>
      </c>
      <c r="B133" s="283" t="s">
        <v>24</v>
      </c>
      <c r="C133" s="283">
        <v>17</v>
      </c>
      <c r="D133" s="276">
        <v>10</v>
      </c>
      <c r="E133" s="261" t="s">
        <v>167</v>
      </c>
      <c r="F133" s="309" t="s">
        <v>65</v>
      </c>
      <c r="G133" s="319">
        <v>43390</v>
      </c>
      <c r="H133" s="277">
        <v>43389</v>
      </c>
      <c r="I133" s="284"/>
      <c r="J133" s="278">
        <v>1</v>
      </c>
      <c r="K133" s="279">
        <v>1</v>
      </c>
      <c r="L133" s="285">
        <f t="shared" si="6"/>
        <v>14</v>
      </c>
      <c r="M133" s="286">
        <f t="shared" si="7"/>
        <v>0.56000000000000005</v>
      </c>
      <c r="N133" s="281">
        <v>3</v>
      </c>
      <c r="O133" s="320">
        <v>43389</v>
      </c>
      <c r="P133" s="314">
        <v>1</v>
      </c>
      <c r="Q133" s="276">
        <v>2</v>
      </c>
      <c r="R133" s="276">
        <v>3</v>
      </c>
      <c r="S133" s="276">
        <v>0</v>
      </c>
      <c r="T133" s="276">
        <v>0</v>
      </c>
      <c r="U133" s="276">
        <v>1</v>
      </c>
      <c r="V133" s="276">
        <v>3</v>
      </c>
      <c r="W133" s="276">
        <v>1</v>
      </c>
      <c r="X133" s="328">
        <v>2</v>
      </c>
      <c r="Y133" s="282">
        <v>1</v>
      </c>
    </row>
    <row r="134" spans="1:25" s="273" customFormat="1" ht="17.399999999999999" customHeight="1">
      <c r="A134" s="274">
        <v>3346</v>
      </c>
      <c r="B134" s="283" t="s">
        <v>24</v>
      </c>
      <c r="C134" s="283">
        <v>18</v>
      </c>
      <c r="D134" s="276">
        <v>9</v>
      </c>
      <c r="E134" s="287" t="s">
        <v>651</v>
      </c>
      <c r="F134" s="310" t="s">
        <v>551</v>
      </c>
      <c r="G134" s="319">
        <v>43390</v>
      </c>
      <c r="H134" s="277">
        <v>43389</v>
      </c>
      <c r="I134" s="277"/>
      <c r="J134" s="278">
        <v>1</v>
      </c>
      <c r="K134" s="279">
        <v>1</v>
      </c>
      <c r="L134" s="278">
        <f t="shared" si="6"/>
        <v>11.5</v>
      </c>
      <c r="M134" s="280">
        <f t="shared" si="7"/>
        <v>0.46</v>
      </c>
      <c r="N134" s="281" t="s">
        <v>35</v>
      </c>
      <c r="O134" s="320">
        <v>43389</v>
      </c>
      <c r="P134" s="314">
        <v>1</v>
      </c>
      <c r="Q134" s="276">
        <v>0</v>
      </c>
      <c r="R134" s="276">
        <v>1</v>
      </c>
      <c r="S134" s="276">
        <v>0</v>
      </c>
      <c r="T134" s="276">
        <v>4</v>
      </c>
      <c r="U134" s="276">
        <v>0</v>
      </c>
      <c r="V134" s="276">
        <v>3</v>
      </c>
      <c r="W134" s="276">
        <v>0.5</v>
      </c>
      <c r="X134" s="328">
        <v>2</v>
      </c>
      <c r="Y134" s="282"/>
    </row>
    <row r="135" spans="1:25" s="273" customFormat="1" ht="17.399999999999999" customHeight="1">
      <c r="A135" s="274">
        <v>3315</v>
      </c>
      <c r="B135" s="283" t="s">
        <v>24</v>
      </c>
      <c r="C135" s="283">
        <v>19</v>
      </c>
      <c r="D135" s="276">
        <v>10</v>
      </c>
      <c r="E135" s="261" t="s">
        <v>652</v>
      </c>
      <c r="F135" s="309" t="s">
        <v>0</v>
      </c>
      <c r="G135" s="319">
        <v>43390</v>
      </c>
      <c r="H135" s="277">
        <v>43387</v>
      </c>
      <c r="I135" s="276"/>
      <c r="J135" s="278">
        <v>1</v>
      </c>
      <c r="K135" s="279">
        <v>1</v>
      </c>
      <c r="L135" s="278">
        <f t="shared" ref="L135:L174" si="8">SUM(P135:Y135)</f>
        <v>19</v>
      </c>
      <c r="M135" s="280">
        <f t="shared" si="7"/>
        <v>0.76</v>
      </c>
      <c r="N135" s="281">
        <v>4</v>
      </c>
      <c r="O135" s="320">
        <v>43389</v>
      </c>
      <c r="P135" s="314">
        <v>1</v>
      </c>
      <c r="Q135" s="276">
        <v>5</v>
      </c>
      <c r="R135" s="276">
        <v>1</v>
      </c>
      <c r="S135" s="276">
        <v>0</v>
      </c>
      <c r="T135" s="276">
        <v>4</v>
      </c>
      <c r="U135" s="276">
        <v>0</v>
      </c>
      <c r="V135" s="276">
        <v>3</v>
      </c>
      <c r="W135" s="276">
        <v>1</v>
      </c>
      <c r="X135" s="328">
        <v>2</v>
      </c>
      <c r="Y135" s="282">
        <v>2</v>
      </c>
    </row>
    <row r="136" spans="1:25" s="273" customFormat="1" ht="17.399999999999999" customHeight="1">
      <c r="A136" s="274">
        <v>3355</v>
      </c>
      <c r="B136" s="283" t="s">
        <v>24</v>
      </c>
      <c r="C136" s="283">
        <v>25</v>
      </c>
      <c r="D136" s="276">
        <v>10</v>
      </c>
      <c r="E136" s="261" t="s">
        <v>707</v>
      </c>
      <c r="F136" s="309" t="s">
        <v>695</v>
      </c>
      <c r="G136" s="319">
        <v>43461</v>
      </c>
      <c r="H136" s="277">
        <v>43447</v>
      </c>
      <c r="I136" s="276"/>
      <c r="J136" s="278">
        <v>1</v>
      </c>
      <c r="K136" s="279">
        <v>1</v>
      </c>
      <c r="L136" s="278">
        <f t="shared" si="8"/>
        <v>13</v>
      </c>
      <c r="M136" s="280">
        <f t="shared" si="7"/>
        <v>0.52</v>
      </c>
      <c r="N136" s="281" t="s">
        <v>31</v>
      </c>
      <c r="O136" s="320">
        <v>43460</v>
      </c>
      <c r="P136" s="314">
        <v>1</v>
      </c>
      <c r="Q136" s="276">
        <v>0</v>
      </c>
      <c r="R136" s="276">
        <v>0</v>
      </c>
      <c r="S136" s="276">
        <v>0</v>
      </c>
      <c r="T136" s="276">
        <v>4</v>
      </c>
      <c r="U136" s="276">
        <v>0</v>
      </c>
      <c r="V136" s="276">
        <v>3</v>
      </c>
      <c r="W136" s="276">
        <v>1</v>
      </c>
      <c r="X136" s="328">
        <v>2</v>
      </c>
      <c r="Y136" s="282">
        <v>2</v>
      </c>
    </row>
    <row r="137" spans="1:25" s="273" customFormat="1" ht="17.399999999999999" customHeight="1">
      <c r="A137" s="274">
        <v>3316</v>
      </c>
      <c r="B137" s="283" t="s">
        <v>24</v>
      </c>
      <c r="C137" s="283">
        <v>20</v>
      </c>
      <c r="D137" s="276">
        <v>10</v>
      </c>
      <c r="E137" s="261" t="s">
        <v>357</v>
      </c>
      <c r="F137" s="309" t="s">
        <v>10</v>
      </c>
      <c r="G137" s="319">
        <v>43390</v>
      </c>
      <c r="H137" s="277">
        <v>43386</v>
      </c>
      <c r="I137" s="277"/>
      <c r="J137" s="278">
        <v>1</v>
      </c>
      <c r="K137" s="279">
        <v>1</v>
      </c>
      <c r="L137" s="278">
        <f t="shared" si="8"/>
        <v>23</v>
      </c>
      <c r="M137" s="280">
        <f t="shared" ref="M137:M174" si="9">L137/$L$2</f>
        <v>0.92</v>
      </c>
      <c r="N137" s="281" t="s">
        <v>33</v>
      </c>
      <c r="O137" s="320">
        <v>43389</v>
      </c>
      <c r="P137" s="314">
        <v>1</v>
      </c>
      <c r="Q137" s="276">
        <v>5</v>
      </c>
      <c r="R137" s="276">
        <v>4</v>
      </c>
      <c r="S137" s="276">
        <v>1</v>
      </c>
      <c r="T137" s="276">
        <v>4</v>
      </c>
      <c r="U137" s="276">
        <v>1</v>
      </c>
      <c r="V137" s="276">
        <v>3</v>
      </c>
      <c r="W137" s="276">
        <v>1</v>
      </c>
      <c r="X137" s="328">
        <v>2</v>
      </c>
      <c r="Y137" s="282">
        <v>1</v>
      </c>
    </row>
    <row r="138" spans="1:25" s="273" customFormat="1" ht="17.399999999999999" customHeight="1">
      <c r="A138" s="274">
        <v>3352</v>
      </c>
      <c r="B138" s="283" t="s">
        <v>24</v>
      </c>
      <c r="C138" s="283">
        <v>21</v>
      </c>
      <c r="D138" s="276">
        <v>10</v>
      </c>
      <c r="E138" s="287" t="s">
        <v>653</v>
      </c>
      <c r="F138" s="310" t="s">
        <v>12</v>
      </c>
      <c r="G138" s="319">
        <v>43390</v>
      </c>
      <c r="H138" s="277">
        <v>43387</v>
      </c>
      <c r="I138" s="277"/>
      <c r="J138" s="278">
        <v>1</v>
      </c>
      <c r="K138" s="279">
        <v>1</v>
      </c>
      <c r="L138" s="278">
        <f t="shared" si="8"/>
        <v>13</v>
      </c>
      <c r="M138" s="280">
        <f t="shared" si="9"/>
        <v>0.52</v>
      </c>
      <c r="N138" s="281" t="s">
        <v>31</v>
      </c>
      <c r="O138" s="320">
        <v>43389</v>
      </c>
      <c r="P138" s="314">
        <v>1</v>
      </c>
      <c r="Q138" s="276">
        <v>0</v>
      </c>
      <c r="R138" s="276">
        <v>2</v>
      </c>
      <c r="S138" s="276">
        <v>0</v>
      </c>
      <c r="T138" s="276">
        <v>2</v>
      </c>
      <c r="U138" s="276">
        <v>1</v>
      </c>
      <c r="V138" s="276">
        <v>3</v>
      </c>
      <c r="W138" s="276">
        <v>1</v>
      </c>
      <c r="X138" s="328">
        <v>2</v>
      </c>
      <c r="Y138" s="282">
        <v>1</v>
      </c>
    </row>
    <row r="139" spans="1:25" s="273" customFormat="1" ht="17.399999999999999" customHeight="1">
      <c r="A139" s="274">
        <v>3317</v>
      </c>
      <c r="B139" s="283" t="s">
        <v>24</v>
      </c>
      <c r="C139" s="283">
        <v>22</v>
      </c>
      <c r="D139" s="276">
        <v>10</v>
      </c>
      <c r="E139" s="261" t="s">
        <v>546</v>
      </c>
      <c r="F139" s="309" t="s">
        <v>19</v>
      </c>
      <c r="G139" s="319">
        <v>43390</v>
      </c>
      <c r="H139" s="277">
        <v>43387</v>
      </c>
      <c r="I139" s="277"/>
      <c r="J139" s="278">
        <v>1</v>
      </c>
      <c r="K139" s="279">
        <v>1</v>
      </c>
      <c r="L139" s="278">
        <f t="shared" si="8"/>
        <v>14</v>
      </c>
      <c r="M139" s="280">
        <f t="shared" si="9"/>
        <v>0.56000000000000005</v>
      </c>
      <c r="N139" s="281">
        <v>3</v>
      </c>
      <c r="O139" s="320">
        <v>43389</v>
      </c>
      <c r="P139" s="314">
        <v>1</v>
      </c>
      <c r="Q139" s="276">
        <v>3</v>
      </c>
      <c r="R139" s="276">
        <v>1</v>
      </c>
      <c r="S139" s="276">
        <v>0</v>
      </c>
      <c r="T139" s="276">
        <v>4</v>
      </c>
      <c r="U139" s="276">
        <v>1</v>
      </c>
      <c r="V139" s="276">
        <v>3</v>
      </c>
      <c r="W139" s="276">
        <v>0</v>
      </c>
      <c r="X139" s="328">
        <v>0</v>
      </c>
      <c r="Y139" s="282">
        <v>1</v>
      </c>
    </row>
    <row r="140" spans="1:25" s="273" customFormat="1" ht="17.399999999999999" customHeight="1" thickBot="1">
      <c r="A140" s="288">
        <v>3318</v>
      </c>
      <c r="B140" s="297" t="s">
        <v>24</v>
      </c>
      <c r="C140" s="297">
        <v>23</v>
      </c>
      <c r="D140" s="290">
        <v>10</v>
      </c>
      <c r="E140" s="263" t="s">
        <v>654</v>
      </c>
      <c r="F140" s="312" t="s">
        <v>655</v>
      </c>
      <c r="G140" s="321">
        <v>43390</v>
      </c>
      <c r="H140" s="291">
        <v>43386</v>
      </c>
      <c r="I140" s="291"/>
      <c r="J140" s="292">
        <v>1</v>
      </c>
      <c r="K140" s="293">
        <v>1</v>
      </c>
      <c r="L140" s="292">
        <f t="shared" si="8"/>
        <v>23</v>
      </c>
      <c r="M140" s="294">
        <f t="shared" si="9"/>
        <v>0.92</v>
      </c>
      <c r="N140" s="295" t="s">
        <v>33</v>
      </c>
      <c r="O140" s="322">
        <v>43389</v>
      </c>
      <c r="P140" s="315">
        <v>1</v>
      </c>
      <c r="Q140" s="290">
        <v>5</v>
      </c>
      <c r="R140" s="290">
        <v>4</v>
      </c>
      <c r="S140" s="290">
        <v>1</v>
      </c>
      <c r="T140" s="290">
        <v>4</v>
      </c>
      <c r="U140" s="290">
        <v>1</v>
      </c>
      <c r="V140" s="290">
        <v>3</v>
      </c>
      <c r="W140" s="290">
        <v>1</v>
      </c>
      <c r="X140" s="329">
        <v>2</v>
      </c>
      <c r="Y140" s="296">
        <v>1</v>
      </c>
    </row>
    <row r="141" spans="1:25" s="273" customFormat="1" ht="17.399999999999999" customHeight="1" thickTop="1">
      <c r="A141" s="264">
        <v>3319</v>
      </c>
      <c r="B141" s="265" t="s">
        <v>656</v>
      </c>
      <c r="C141" s="265">
        <v>1</v>
      </c>
      <c r="D141" s="266">
        <v>12</v>
      </c>
      <c r="E141" s="259" t="s">
        <v>657</v>
      </c>
      <c r="F141" s="307" t="s">
        <v>679</v>
      </c>
      <c r="G141" s="317">
        <v>43390</v>
      </c>
      <c r="H141" s="267">
        <v>43388</v>
      </c>
      <c r="I141" s="267"/>
      <c r="J141" s="268">
        <v>1</v>
      </c>
      <c r="K141" s="269">
        <v>1</v>
      </c>
      <c r="L141" s="268">
        <f t="shared" si="8"/>
        <v>20</v>
      </c>
      <c r="M141" s="270">
        <f t="shared" si="9"/>
        <v>0.8</v>
      </c>
      <c r="N141" s="271">
        <v>4</v>
      </c>
      <c r="O141" s="318">
        <v>43389</v>
      </c>
      <c r="P141" s="313">
        <v>1</v>
      </c>
      <c r="Q141" s="266">
        <v>5</v>
      </c>
      <c r="R141" s="266">
        <v>3</v>
      </c>
      <c r="S141" s="266">
        <v>0</v>
      </c>
      <c r="T141" s="266">
        <v>3</v>
      </c>
      <c r="U141" s="266">
        <v>1</v>
      </c>
      <c r="V141" s="266">
        <v>3</v>
      </c>
      <c r="W141" s="266">
        <v>1</v>
      </c>
      <c r="X141" s="330">
        <v>2</v>
      </c>
      <c r="Y141" s="272">
        <v>1</v>
      </c>
    </row>
    <row r="142" spans="1:25" s="273" customFormat="1" ht="17.399999999999999" customHeight="1">
      <c r="A142" s="274">
        <v>3320</v>
      </c>
      <c r="B142" s="283" t="s">
        <v>656</v>
      </c>
      <c r="C142" s="283">
        <v>2</v>
      </c>
      <c r="D142" s="276">
        <v>12</v>
      </c>
      <c r="E142" s="261" t="s">
        <v>658</v>
      </c>
      <c r="F142" s="309" t="s">
        <v>14</v>
      </c>
      <c r="G142" s="319">
        <v>43390</v>
      </c>
      <c r="H142" s="277">
        <v>43390</v>
      </c>
      <c r="I142" s="277"/>
      <c r="J142" s="278">
        <v>1</v>
      </c>
      <c r="K142" s="279">
        <v>1</v>
      </c>
      <c r="L142" s="278">
        <f t="shared" si="8"/>
        <v>19.5</v>
      </c>
      <c r="M142" s="280">
        <f t="shared" si="9"/>
        <v>0.78</v>
      </c>
      <c r="N142" s="281">
        <v>4</v>
      </c>
      <c r="O142" s="320">
        <v>43392</v>
      </c>
      <c r="P142" s="314">
        <v>1</v>
      </c>
      <c r="Q142" s="276">
        <v>5</v>
      </c>
      <c r="R142" s="276">
        <v>4</v>
      </c>
      <c r="S142" s="276">
        <v>1</v>
      </c>
      <c r="T142" s="276">
        <v>1</v>
      </c>
      <c r="U142" s="276">
        <v>1</v>
      </c>
      <c r="V142" s="276">
        <v>3</v>
      </c>
      <c r="W142" s="276">
        <v>0.5</v>
      </c>
      <c r="X142" s="328">
        <v>2</v>
      </c>
      <c r="Y142" s="282">
        <v>1</v>
      </c>
    </row>
    <row r="143" spans="1:25" s="273" customFormat="1" ht="17.399999999999999" customHeight="1">
      <c r="A143" s="274">
        <v>3321</v>
      </c>
      <c r="B143" s="283" t="s">
        <v>656</v>
      </c>
      <c r="C143" s="283">
        <v>3</v>
      </c>
      <c r="D143" s="276">
        <v>12</v>
      </c>
      <c r="E143" s="261" t="s">
        <v>659</v>
      </c>
      <c r="F143" s="310" t="s">
        <v>18</v>
      </c>
      <c r="G143" s="319">
        <v>43390</v>
      </c>
      <c r="H143" s="277">
        <v>43389</v>
      </c>
      <c r="I143" s="277"/>
      <c r="J143" s="278">
        <v>1</v>
      </c>
      <c r="K143" s="279">
        <v>1</v>
      </c>
      <c r="L143" s="278">
        <f t="shared" si="8"/>
        <v>19.5</v>
      </c>
      <c r="M143" s="280">
        <f t="shared" si="9"/>
        <v>0.78</v>
      </c>
      <c r="N143" s="281">
        <v>4</v>
      </c>
      <c r="O143" s="320">
        <v>43389</v>
      </c>
      <c r="P143" s="314">
        <v>1</v>
      </c>
      <c r="Q143" s="276">
        <v>5</v>
      </c>
      <c r="R143" s="276">
        <v>4</v>
      </c>
      <c r="S143" s="276">
        <v>2</v>
      </c>
      <c r="T143" s="276">
        <v>0</v>
      </c>
      <c r="U143" s="276">
        <v>0</v>
      </c>
      <c r="V143" s="276">
        <v>3</v>
      </c>
      <c r="W143" s="276">
        <v>0.5</v>
      </c>
      <c r="X143" s="328">
        <v>2</v>
      </c>
      <c r="Y143" s="282">
        <v>2</v>
      </c>
    </row>
    <row r="144" spans="1:25" s="273" customFormat="1" ht="17.399999999999999" customHeight="1">
      <c r="A144" s="274">
        <v>3323</v>
      </c>
      <c r="B144" s="283" t="s">
        <v>656</v>
      </c>
      <c r="C144" s="283">
        <v>4</v>
      </c>
      <c r="D144" s="276">
        <v>12</v>
      </c>
      <c r="E144" s="261" t="s">
        <v>660</v>
      </c>
      <c r="F144" s="309" t="s">
        <v>12</v>
      </c>
      <c r="G144" s="319">
        <v>43390</v>
      </c>
      <c r="H144" s="277">
        <v>43387</v>
      </c>
      <c r="I144" s="277"/>
      <c r="J144" s="278">
        <v>1</v>
      </c>
      <c r="K144" s="279">
        <v>1</v>
      </c>
      <c r="L144" s="278">
        <f t="shared" si="8"/>
        <v>18.5</v>
      </c>
      <c r="M144" s="280">
        <f t="shared" si="9"/>
        <v>0.74</v>
      </c>
      <c r="N144" s="281">
        <v>4</v>
      </c>
      <c r="O144" s="320">
        <v>43389</v>
      </c>
      <c r="P144" s="314">
        <v>1</v>
      </c>
      <c r="Q144" s="276">
        <v>2</v>
      </c>
      <c r="R144" s="276">
        <v>4</v>
      </c>
      <c r="S144" s="276">
        <v>2</v>
      </c>
      <c r="T144" s="276">
        <v>4</v>
      </c>
      <c r="U144" s="276">
        <v>1</v>
      </c>
      <c r="V144" s="276">
        <v>2</v>
      </c>
      <c r="W144" s="276">
        <v>0.5</v>
      </c>
      <c r="X144" s="328">
        <v>2</v>
      </c>
      <c r="Y144" s="282"/>
    </row>
    <row r="145" spans="1:25" s="273" customFormat="1" ht="17.399999999999999" customHeight="1">
      <c r="A145" s="274">
        <v>3325</v>
      </c>
      <c r="B145" s="283" t="s">
        <v>656</v>
      </c>
      <c r="C145" s="283">
        <v>5</v>
      </c>
      <c r="D145" s="276">
        <v>8</v>
      </c>
      <c r="E145" s="261" t="s">
        <v>661</v>
      </c>
      <c r="F145" s="309" t="s">
        <v>695</v>
      </c>
      <c r="G145" s="319">
        <v>43390</v>
      </c>
      <c r="H145" s="277">
        <v>43381</v>
      </c>
      <c r="I145" s="277"/>
      <c r="J145" s="278">
        <v>1</v>
      </c>
      <c r="K145" s="279">
        <v>1</v>
      </c>
      <c r="L145" s="278">
        <f t="shared" si="8"/>
        <v>10</v>
      </c>
      <c r="M145" s="280">
        <f t="shared" si="9"/>
        <v>0.4</v>
      </c>
      <c r="N145" s="281">
        <v>2</v>
      </c>
      <c r="O145" s="320">
        <v>43389</v>
      </c>
      <c r="P145" s="314"/>
      <c r="Q145" s="276"/>
      <c r="R145" s="276"/>
      <c r="S145" s="276"/>
      <c r="T145" s="276">
        <v>4</v>
      </c>
      <c r="U145" s="276">
        <v>0</v>
      </c>
      <c r="V145" s="276">
        <v>3</v>
      </c>
      <c r="W145" s="276">
        <v>1</v>
      </c>
      <c r="X145" s="328">
        <v>0</v>
      </c>
      <c r="Y145" s="282">
        <v>2</v>
      </c>
    </row>
    <row r="146" spans="1:25" s="273" customFormat="1" ht="17.399999999999999" customHeight="1">
      <c r="A146" s="274">
        <v>3326</v>
      </c>
      <c r="B146" s="283" t="s">
        <v>656</v>
      </c>
      <c r="C146" s="283">
        <v>6</v>
      </c>
      <c r="D146" s="276">
        <v>12</v>
      </c>
      <c r="E146" s="287" t="s">
        <v>575</v>
      </c>
      <c r="F146" s="310" t="s">
        <v>65</v>
      </c>
      <c r="G146" s="319">
        <v>43390</v>
      </c>
      <c r="H146" s="277">
        <v>43389</v>
      </c>
      <c r="I146" s="304"/>
      <c r="J146" s="278">
        <v>1</v>
      </c>
      <c r="K146" s="279">
        <v>1</v>
      </c>
      <c r="L146" s="285">
        <f t="shared" si="8"/>
        <v>15.5</v>
      </c>
      <c r="M146" s="286">
        <f t="shared" si="9"/>
        <v>0.62</v>
      </c>
      <c r="N146" s="281">
        <v>3</v>
      </c>
      <c r="O146" s="320">
        <v>43389</v>
      </c>
      <c r="P146" s="314">
        <v>1</v>
      </c>
      <c r="Q146" s="276">
        <v>4</v>
      </c>
      <c r="R146" s="276">
        <v>1</v>
      </c>
      <c r="S146" s="276">
        <v>0</v>
      </c>
      <c r="T146" s="276">
        <v>4</v>
      </c>
      <c r="U146" s="276">
        <v>0</v>
      </c>
      <c r="V146" s="276">
        <v>3</v>
      </c>
      <c r="W146" s="276">
        <v>0.5</v>
      </c>
      <c r="X146" s="328">
        <v>2</v>
      </c>
      <c r="Y146" s="282"/>
    </row>
    <row r="147" spans="1:25" s="273" customFormat="1" ht="17.399999999999999" customHeight="1">
      <c r="A147" s="274">
        <v>3327</v>
      </c>
      <c r="B147" s="283" t="s">
        <v>656</v>
      </c>
      <c r="C147" s="283">
        <v>7</v>
      </c>
      <c r="D147" s="276">
        <v>12</v>
      </c>
      <c r="E147" s="287" t="s">
        <v>662</v>
      </c>
      <c r="F147" s="310" t="s">
        <v>48</v>
      </c>
      <c r="G147" s="319">
        <v>43390</v>
      </c>
      <c r="H147" s="277"/>
      <c r="I147" s="277" t="s">
        <v>208</v>
      </c>
      <c r="J147" s="278">
        <v>1</v>
      </c>
      <c r="K147" s="279">
        <v>0.35</v>
      </c>
      <c r="L147" s="285">
        <f t="shared" si="8"/>
        <v>0</v>
      </c>
      <c r="M147" s="286">
        <f t="shared" si="9"/>
        <v>0</v>
      </c>
      <c r="N147" s="281">
        <v>1</v>
      </c>
      <c r="O147" s="320">
        <v>43392</v>
      </c>
      <c r="P147" s="314"/>
      <c r="Q147" s="276"/>
      <c r="R147" s="276"/>
      <c r="S147" s="276"/>
      <c r="T147" s="276"/>
      <c r="U147" s="276"/>
      <c r="V147" s="276"/>
      <c r="W147" s="276"/>
      <c r="X147" s="328"/>
      <c r="Y147" s="282"/>
    </row>
    <row r="148" spans="1:25" s="273" customFormat="1" ht="17.399999999999999" customHeight="1">
      <c r="A148" s="274">
        <v>3327</v>
      </c>
      <c r="B148" s="283" t="s">
        <v>656</v>
      </c>
      <c r="C148" s="283">
        <v>7</v>
      </c>
      <c r="D148" s="276">
        <v>12</v>
      </c>
      <c r="E148" s="287" t="s">
        <v>662</v>
      </c>
      <c r="F148" s="310" t="s">
        <v>48</v>
      </c>
      <c r="G148" s="319"/>
      <c r="H148" s="277">
        <v>43474</v>
      </c>
      <c r="I148" s="277"/>
      <c r="J148" s="278">
        <v>2</v>
      </c>
      <c r="K148" s="279">
        <v>0.65</v>
      </c>
      <c r="L148" s="285">
        <f t="shared" si="8"/>
        <v>18</v>
      </c>
      <c r="M148" s="286">
        <f t="shared" si="9"/>
        <v>0.72</v>
      </c>
      <c r="N148" s="281" t="s">
        <v>30</v>
      </c>
      <c r="O148" s="320">
        <v>43475</v>
      </c>
      <c r="P148" s="314">
        <v>1</v>
      </c>
      <c r="Q148" s="276">
        <v>4</v>
      </c>
      <c r="R148" s="276">
        <v>0</v>
      </c>
      <c r="S148" s="276">
        <v>2</v>
      </c>
      <c r="T148" s="276">
        <v>4</v>
      </c>
      <c r="U148" s="276">
        <v>1</v>
      </c>
      <c r="V148" s="276">
        <v>3</v>
      </c>
      <c r="W148" s="276">
        <v>1</v>
      </c>
      <c r="X148" s="328">
        <v>2</v>
      </c>
      <c r="Y148" s="282">
        <v>0</v>
      </c>
    </row>
    <row r="149" spans="1:25" s="273" customFormat="1" ht="17.399999999999999" customHeight="1">
      <c r="A149" s="274">
        <v>3328</v>
      </c>
      <c r="B149" s="283" t="s">
        <v>656</v>
      </c>
      <c r="C149" s="283">
        <v>8</v>
      </c>
      <c r="D149" s="276">
        <v>12</v>
      </c>
      <c r="E149" s="261" t="s">
        <v>156</v>
      </c>
      <c r="F149" s="309" t="s">
        <v>14</v>
      </c>
      <c r="G149" s="319">
        <v>43390</v>
      </c>
      <c r="H149" s="277">
        <v>43381</v>
      </c>
      <c r="I149" s="277"/>
      <c r="J149" s="278">
        <v>1</v>
      </c>
      <c r="K149" s="279">
        <v>1</v>
      </c>
      <c r="L149" s="278">
        <f t="shared" si="8"/>
        <v>6</v>
      </c>
      <c r="M149" s="280">
        <f t="shared" si="9"/>
        <v>0.24</v>
      </c>
      <c r="N149" s="281">
        <v>1</v>
      </c>
      <c r="O149" s="320">
        <v>43389</v>
      </c>
      <c r="P149" s="314">
        <v>1</v>
      </c>
      <c r="Q149" s="276"/>
      <c r="R149" s="276"/>
      <c r="S149" s="276"/>
      <c r="T149" s="276">
        <v>4</v>
      </c>
      <c r="U149" s="276">
        <v>0</v>
      </c>
      <c r="V149" s="276">
        <v>0</v>
      </c>
      <c r="W149" s="276">
        <v>1</v>
      </c>
      <c r="X149" s="328">
        <v>0</v>
      </c>
      <c r="Y149" s="282"/>
    </row>
    <row r="150" spans="1:25" s="273" customFormat="1" ht="17.399999999999999" customHeight="1">
      <c r="A150" s="274">
        <v>3329</v>
      </c>
      <c r="B150" s="283" t="s">
        <v>656</v>
      </c>
      <c r="C150" s="283">
        <v>9</v>
      </c>
      <c r="D150" s="276">
        <v>11</v>
      </c>
      <c r="E150" s="261" t="s">
        <v>663</v>
      </c>
      <c r="F150" s="309" t="s">
        <v>14</v>
      </c>
      <c r="G150" s="319">
        <v>43390</v>
      </c>
      <c r="H150" s="277"/>
      <c r="I150" s="277" t="s">
        <v>208</v>
      </c>
      <c r="J150" s="278">
        <v>1</v>
      </c>
      <c r="K150" s="279">
        <v>0.1</v>
      </c>
      <c r="L150" s="278">
        <f t="shared" si="8"/>
        <v>0</v>
      </c>
      <c r="M150" s="280">
        <f t="shared" si="9"/>
        <v>0</v>
      </c>
      <c r="N150" s="281">
        <v>1</v>
      </c>
      <c r="O150" s="320">
        <v>43392</v>
      </c>
      <c r="P150" s="314"/>
      <c r="Q150" s="276"/>
      <c r="R150" s="276"/>
      <c r="S150" s="276"/>
      <c r="T150" s="276"/>
      <c r="U150" s="276"/>
      <c r="V150" s="276"/>
      <c r="W150" s="276"/>
      <c r="X150" s="328"/>
      <c r="Y150" s="282"/>
    </row>
    <row r="151" spans="1:25" s="273" customFormat="1" ht="17.399999999999999" customHeight="1">
      <c r="A151" s="331">
        <v>3329</v>
      </c>
      <c r="B151" s="332" t="s">
        <v>656</v>
      </c>
      <c r="C151" s="332">
        <v>9</v>
      </c>
      <c r="D151" s="333">
        <v>11</v>
      </c>
      <c r="E151" s="334" t="s">
        <v>663</v>
      </c>
      <c r="F151" s="335" t="s">
        <v>14</v>
      </c>
      <c r="G151" s="336"/>
      <c r="H151" s="337">
        <v>43392</v>
      </c>
      <c r="I151" s="337"/>
      <c r="J151" s="338">
        <v>2</v>
      </c>
      <c r="K151" s="339">
        <v>0.05</v>
      </c>
      <c r="L151" s="338">
        <f t="shared" si="8"/>
        <v>16</v>
      </c>
      <c r="M151" s="340">
        <f t="shared" si="9"/>
        <v>0.64</v>
      </c>
      <c r="N151" s="341">
        <v>3</v>
      </c>
      <c r="O151" s="342">
        <v>43395</v>
      </c>
      <c r="P151" s="343">
        <v>1</v>
      </c>
      <c r="Q151" s="333">
        <v>0</v>
      </c>
      <c r="R151" s="333">
        <v>4</v>
      </c>
      <c r="S151" s="333">
        <v>2</v>
      </c>
      <c r="T151" s="333">
        <v>0</v>
      </c>
      <c r="U151" s="333">
        <v>1</v>
      </c>
      <c r="V151" s="333">
        <v>3</v>
      </c>
      <c r="W151" s="333">
        <v>1</v>
      </c>
      <c r="X151" s="333">
        <v>2</v>
      </c>
      <c r="Y151" s="344">
        <v>2</v>
      </c>
    </row>
    <row r="152" spans="1:25" s="273" customFormat="1" ht="17.399999999999999" customHeight="1">
      <c r="A152" s="347">
        <v>3329</v>
      </c>
      <c r="B152" s="348" t="s">
        <v>656</v>
      </c>
      <c r="C152" s="348">
        <v>9</v>
      </c>
      <c r="D152" s="349">
        <v>11</v>
      </c>
      <c r="E152" s="350" t="s">
        <v>663</v>
      </c>
      <c r="F152" s="351" t="s">
        <v>14</v>
      </c>
      <c r="G152" s="352"/>
      <c r="H152" s="353">
        <v>43400</v>
      </c>
      <c r="I152" s="353"/>
      <c r="J152" s="354">
        <v>3</v>
      </c>
      <c r="K152" s="355">
        <v>0.85</v>
      </c>
      <c r="L152" s="354">
        <f t="shared" si="8"/>
        <v>25</v>
      </c>
      <c r="M152" s="356">
        <f t="shared" si="9"/>
        <v>1</v>
      </c>
      <c r="N152" s="357">
        <v>5</v>
      </c>
      <c r="O152" s="358">
        <v>43403</v>
      </c>
      <c r="P152" s="359">
        <v>1</v>
      </c>
      <c r="Q152" s="349">
        <v>5</v>
      </c>
      <c r="R152" s="349">
        <v>4</v>
      </c>
      <c r="S152" s="349">
        <v>2</v>
      </c>
      <c r="T152" s="349">
        <v>4</v>
      </c>
      <c r="U152" s="349">
        <v>1</v>
      </c>
      <c r="V152" s="349">
        <v>3</v>
      </c>
      <c r="W152" s="349">
        <v>1</v>
      </c>
      <c r="X152" s="349">
        <v>2</v>
      </c>
      <c r="Y152" s="360">
        <v>2</v>
      </c>
    </row>
    <row r="153" spans="1:25" s="273" customFormat="1" ht="17.399999999999999" customHeight="1">
      <c r="A153" s="274">
        <v>3249</v>
      </c>
      <c r="B153" s="283" t="s">
        <v>656</v>
      </c>
      <c r="C153" s="283">
        <v>10</v>
      </c>
      <c r="D153" s="276">
        <v>12</v>
      </c>
      <c r="E153" s="261" t="s">
        <v>664</v>
      </c>
      <c r="F153" s="309" t="s">
        <v>128</v>
      </c>
      <c r="G153" s="319">
        <v>43390</v>
      </c>
      <c r="H153" s="277">
        <v>43389</v>
      </c>
      <c r="I153" s="276"/>
      <c r="J153" s="278">
        <v>1</v>
      </c>
      <c r="K153" s="279">
        <v>1</v>
      </c>
      <c r="L153" s="278">
        <f t="shared" si="8"/>
        <v>21.5</v>
      </c>
      <c r="M153" s="280">
        <f t="shared" si="9"/>
        <v>0.86</v>
      </c>
      <c r="N153" s="281" t="s">
        <v>34</v>
      </c>
      <c r="O153" s="320">
        <v>43392</v>
      </c>
      <c r="P153" s="314">
        <v>1</v>
      </c>
      <c r="Q153" s="276">
        <v>5</v>
      </c>
      <c r="R153" s="276">
        <v>4</v>
      </c>
      <c r="S153" s="276">
        <v>1</v>
      </c>
      <c r="T153" s="276">
        <v>4</v>
      </c>
      <c r="U153" s="276">
        <v>1</v>
      </c>
      <c r="V153" s="276">
        <v>3</v>
      </c>
      <c r="W153" s="276">
        <v>0.5</v>
      </c>
      <c r="X153" s="328">
        <v>0</v>
      </c>
      <c r="Y153" s="282">
        <v>2</v>
      </c>
    </row>
    <row r="154" spans="1:25" s="273" customFormat="1" ht="17.399999999999999" customHeight="1">
      <c r="A154" s="274">
        <v>3330</v>
      </c>
      <c r="B154" s="283" t="s">
        <v>656</v>
      </c>
      <c r="C154" s="283">
        <v>11</v>
      </c>
      <c r="D154" s="276">
        <v>11</v>
      </c>
      <c r="E154" s="261" t="s">
        <v>665</v>
      </c>
      <c r="F154" s="309" t="s">
        <v>19</v>
      </c>
      <c r="G154" s="319">
        <v>43390</v>
      </c>
      <c r="H154" s="277">
        <v>43386</v>
      </c>
      <c r="I154" s="276"/>
      <c r="J154" s="278">
        <v>1</v>
      </c>
      <c r="K154" s="279">
        <v>0.85</v>
      </c>
      <c r="L154" s="278">
        <f t="shared" si="8"/>
        <v>18</v>
      </c>
      <c r="M154" s="280">
        <f t="shared" si="9"/>
        <v>0.72</v>
      </c>
      <c r="N154" s="281" t="s">
        <v>30</v>
      </c>
      <c r="O154" s="320">
        <v>43389</v>
      </c>
      <c r="P154" s="314">
        <v>1</v>
      </c>
      <c r="Q154" s="276">
        <v>4</v>
      </c>
      <c r="R154" s="276">
        <v>1</v>
      </c>
      <c r="S154" s="276">
        <v>0</v>
      </c>
      <c r="T154" s="276">
        <v>4</v>
      </c>
      <c r="U154" s="276">
        <v>1</v>
      </c>
      <c r="V154" s="276">
        <v>3</v>
      </c>
      <c r="W154" s="276">
        <v>1</v>
      </c>
      <c r="X154" s="328">
        <v>2</v>
      </c>
      <c r="Y154" s="282">
        <v>1</v>
      </c>
    </row>
    <row r="155" spans="1:25" s="273" customFormat="1" ht="17.399999999999999" customHeight="1">
      <c r="A155" s="331">
        <v>3330</v>
      </c>
      <c r="B155" s="332" t="s">
        <v>656</v>
      </c>
      <c r="C155" s="332">
        <v>11</v>
      </c>
      <c r="D155" s="333">
        <v>11</v>
      </c>
      <c r="E155" s="334" t="s">
        <v>665</v>
      </c>
      <c r="F155" s="335" t="s">
        <v>19</v>
      </c>
      <c r="G155" s="336"/>
      <c r="H155" s="337">
        <v>43406</v>
      </c>
      <c r="I155" s="333"/>
      <c r="J155" s="338">
        <v>2</v>
      </c>
      <c r="K155" s="339">
        <v>0.15</v>
      </c>
      <c r="L155" s="338">
        <f t="shared" si="8"/>
        <v>23</v>
      </c>
      <c r="M155" s="340">
        <f t="shared" si="9"/>
        <v>0.92</v>
      </c>
      <c r="N155" s="341" t="s">
        <v>33</v>
      </c>
      <c r="O155" s="342">
        <v>43412</v>
      </c>
      <c r="P155" s="343">
        <v>1</v>
      </c>
      <c r="Q155" s="333">
        <v>5</v>
      </c>
      <c r="R155" s="333">
        <v>4</v>
      </c>
      <c r="S155" s="333">
        <v>2</v>
      </c>
      <c r="T155" s="333">
        <v>4</v>
      </c>
      <c r="U155" s="333">
        <v>1</v>
      </c>
      <c r="V155" s="333">
        <v>3</v>
      </c>
      <c r="W155" s="333">
        <v>0</v>
      </c>
      <c r="X155" s="333">
        <v>2</v>
      </c>
      <c r="Y155" s="344">
        <v>1</v>
      </c>
    </row>
    <row r="156" spans="1:25" s="273" customFormat="1" ht="17.399999999999999" customHeight="1">
      <c r="A156" s="274">
        <v>3331</v>
      </c>
      <c r="B156" s="283" t="s">
        <v>656</v>
      </c>
      <c r="C156" s="283">
        <v>12</v>
      </c>
      <c r="D156" s="276">
        <v>11</v>
      </c>
      <c r="E156" s="261" t="s">
        <v>666</v>
      </c>
      <c r="F156" s="309" t="s">
        <v>79</v>
      </c>
      <c r="G156" s="319">
        <v>43390</v>
      </c>
      <c r="H156" s="277"/>
      <c r="I156" s="277" t="s">
        <v>208</v>
      </c>
      <c r="J156" s="278">
        <v>1</v>
      </c>
      <c r="K156" s="279">
        <v>1</v>
      </c>
      <c r="L156" s="278">
        <f t="shared" si="8"/>
        <v>0</v>
      </c>
      <c r="M156" s="280">
        <f t="shared" si="9"/>
        <v>0</v>
      </c>
      <c r="N156" s="281">
        <v>1</v>
      </c>
      <c r="O156" s="320">
        <v>43392</v>
      </c>
      <c r="P156" s="314"/>
      <c r="Q156" s="276"/>
      <c r="R156" s="276"/>
      <c r="S156" s="276"/>
      <c r="T156" s="276"/>
      <c r="U156" s="276"/>
      <c r="V156" s="276"/>
      <c r="W156" s="276"/>
      <c r="X156" s="328"/>
      <c r="Y156" s="282"/>
    </row>
    <row r="157" spans="1:25" s="273" customFormat="1" ht="17.399999999999999" customHeight="1">
      <c r="A157" s="274">
        <v>3332</v>
      </c>
      <c r="B157" s="283" t="s">
        <v>656</v>
      </c>
      <c r="C157" s="283">
        <v>13</v>
      </c>
      <c r="D157" s="276">
        <v>11</v>
      </c>
      <c r="E157" s="261" t="s">
        <v>438</v>
      </c>
      <c r="F157" s="309" t="s">
        <v>676</v>
      </c>
      <c r="G157" s="319">
        <v>43390</v>
      </c>
      <c r="H157" s="277"/>
      <c r="I157" s="277" t="s">
        <v>208</v>
      </c>
      <c r="J157" s="278">
        <v>1</v>
      </c>
      <c r="K157" s="279">
        <v>0.1</v>
      </c>
      <c r="L157" s="278">
        <f t="shared" si="8"/>
        <v>0</v>
      </c>
      <c r="M157" s="280">
        <f t="shared" si="9"/>
        <v>0</v>
      </c>
      <c r="N157" s="281">
        <v>1</v>
      </c>
      <c r="O157" s="320">
        <v>43392</v>
      </c>
      <c r="P157" s="314"/>
      <c r="Q157" s="276"/>
      <c r="R157" s="276"/>
      <c r="S157" s="276"/>
      <c r="T157" s="276"/>
      <c r="U157" s="276"/>
      <c r="V157" s="276"/>
      <c r="W157" s="276"/>
      <c r="X157" s="328"/>
      <c r="Y157" s="282"/>
    </row>
    <row r="158" spans="1:25" s="273" customFormat="1" ht="17.399999999999999" customHeight="1">
      <c r="A158" s="331">
        <v>3332</v>
      </c>
      <c r="B158" s="332" t="s">
        <v>656</v>
      </c>
      <c r="C158" s="332">
        <v>13</v>
      </c>
      <c r="D158" s="333">
        <v>11</v>
      </c>
      <c r="E158" s="334" t="s">
        <v>438</v>
      </c>
      <c r="F158" s="335" t="s">
        <v>676</v>
      </c>
      <c r="G158" s="336"/>
      <c r="H158" s="337">
        <v>43395</v>
      </c>
      <c r="I158" s="337" t="s">
        <v>552</v>
      </c>
      <c r="J158" s="338">
        <v>2</v>
      </c>
      <c r="K158" s="339">
        <v>0.05</v>
      </c>
      <c r="L158" s="338">
        <f t="shared" si="8"/>
        <v>9.5</v>
      </c>
      <c r="M158" s="340">
        <f t="shared" si="9"/>
        <v>0.38</v>
      </c>
      <c r="N158" s="341">
        <v>2</v>
      </c>
      <c r="O158" s="342">
        <v>43395</v>
      </c>
      <c r="P158" s="343">
        <v>1</v>
      </c>
      <c r="Q158" s="333">
        <v>4</v>
      </c>
      <c r="R158" s="333">
        <v>0</v>
      </c>
      <c r="S158" s="333">
        <v>0</v>
      </c>
      <c r="T158" s="333">
        <v>1</v>
      </c>
      <c r="U158" s="333">
        <v>1</v>
      </c>
      <c r="V158" s="333">
        <v>1</v>
      </c>
      <c r="W158" s="333">
        <v>0.5</v>
      </c>
      <c r="X158" s="333">
        <v>0</v>
      </c>
      <c r="Y158" s="344">
        <v>1</v>
      </c>
    </row>
    <row r="159" spans="1:25" s="273" customFormat="1" ht="17.399999999999999" customHeight="1">
      <c r="A159" s="347">
        <v>3332</v>
      </c>
      <c r="B159" s="348" t="s">
        <v>656</v>
      </c>
      <c r="C159" s="348">
        <v>13</v>
      </c>
      <c r="D159" s="349">
        <v>11</v>
      </c>
      <c r="E159" s="350" t="s">
        <v>438</v>
      </c>
      <c r="F159" s="351" t="s">
        <v>676</v>
      </c>
      <c r="G159" s="352"/>
      <c r="H159" s="353">
        <v>43401</v>
      </c>
      <c r="I159" s="353" t="s">
        <v>696</v>
      </c>
      <c r="J159" s="354">
        <v>3</v>
      </c>
      <c r="K159" s="355">
        <v>0.85</v>
      </c>
      <c r="L159" s="354">
        <f t="shared" si="8"/>
        <v>16.5</v>
      </c>
      <c r="M159" s="356">
        <f t="shared" si="9"/>
        <v>0.66</v>
      </c>
      <c r="N159" s="357" t="s">
        <v>32</v>
      </c>
      <c r="O159" s="358">
        <v>43403</v>
      </c>
      <c r="P159" s="359">
        <v>1</v>
      </c>
      <c r="Q159" s="349">
        <v>1</v>
      </c>
      <c r="R159" s="349">
        <v>4</v>
      </c>
      <c r="S159" s="349">
        <v>2</v>
      </c>
      <c r="T159" s="349">
        <v>4</v>
      </c>
      <c r="U159" s="349">
        <v>1</v>
      </c>
      <c r="V159" s="349">
        <v>2</v>
      </c>
      <c r="W159" s="349">
        <v>0.5</v>
      </c>
      <c r="X159" s="349">
        <v>0</v>
      </c>
      <c r="Y159" s="360">
        <v>1</v>
      </c>
    </row>
    <row r="160" spans="1:25" s="273" customFormat="1" ht="17.399999999999999" customHeight="1">
      <c r="A160" s="274">
        <v>3333</v>
      </c>
      <c r="B160" s="283" t="s">
        <v>656</v>
      </c>
      <c r="C160" s="283">
        <v>14</v>
      </c>
      <c r="D160" s="276">
        <v>12</v>
      </c>
      <c r="E160" s="261" t="s">
        <v>581</v>
      </c>
      <c r="F160" s="309" t="s">
        <v>677</v>
      </c>
      <c r="G160" s="319">
        <v>43390</v>
      </c>
      <c r="H160" s="277">
        <v>43388</v>
      </c>
      <c r="I160" s="276"/>
      <c r="J160" s="278">
        <v>1</v>
      </c>
      <c r="K160" s="279">
        <v>1</v>
      </c>
      <c r="L160" s="278">
        <f t="shared" si="8"/>
        <v>24.5</v>
      </c>
      <c r="M160" s="280">
        <f t="shared" si="9"/>
        <v>0.98</v>
      </c>
      <c r="N160" s="281">
        <v>5</v>
      </c>
      <c r="O160" s="320">
        <v>43389</v>
      </c>
      <c r="P160" s="314">
        <v>1</v>
      </c>
      <c r="Q160" s="276">
        <v>5</v>
      </c>
      <c r="R160" s="276">
        <v>4</v>
      </c>
      <c r="S160" s="276">
        <v>2</v>
      </c>
      <c r="T160" s="276">
        <v>4</v>
      </c>
      <c r="U160" s="276">
        <v>1</v>
      </c>
      <c r="V160" s="276">
        <v>3</v>
      </c>
      <c r="W160" s="276">
        <v>0.5</v>
      </c>
      <c r="X160" s="328">
        <v>2</v>
      </c>
      <c r="Y160" s="282">
        <v>2</v>
      </c>
    </row>
    <row r="161" spans="1:25" s="273" customFormat="1" ht="17.399999999999999" customHeight="1">
      <c r="A161" s="274">
        <v>3334</v>
      </c>
      <c r="B161" s="283" t="s">
        <v>656</v>
      </c>
      <c r="C161" s="283">
        <v>15</v>
      </c>
      <c r="D161" s="276">
        <v>12</v>
      </c>
      <c r="E161" s="261" t="s">
        <v>345</v>
      </c>
      <c r="F161" s="309" t="s">
        <v>188</v>
      </c>
      <c r="G161" s="319">
        <v>43390</v>
      </c>
      <c r="H161" s="277">
        <v>43389</v>
      </c>
      <c r="I161" s="276"/>
      <c r="J161" s="278">
        <v>1</v>
      </c>
      <c r="K161" s="279">
        <v>1</v>
      </c>
      <c r="L161" s="278">
        <f t="shared" si="8"/>
        <v>19.5</v>
      </c>
      <c r="M161" s="280">
        <f t="shared" si="9"/>
        <v>0.78</v>
      </c>
      <c r="N161" s="281">
        <v>4</v>
      </c>
      <c r="O161" s="320">
        <v>43389</v>
      </c>
      <c r="P161" s="314">
        <v>1</v>
      </c>
      <c r="Q161" s="276">
        <v>5</v>
      </c>
      <c r="R161" s="276">
        <v>1</v>
      </c>
      <c r="S161" s="276">
        <v>0</v>
      </c>
      <c r="T161" s="276">
        <v>4</v>
      </c>
      <c r="U161" s="276">
        <v>1</v>
      </c>
      <c r="V161" s="276">
        <v>3</v>
      </c>
      <c r="W161" s="276">
        <v>0.5</v>
      </c>
      <c r="X161" s="328">
        <v>2</v>
      </c>
      <c r="Y161" s="282">
        <v>2</v>
      </c>
    </row>
    <row r="162" spans="1:25" s="273" customFormat="1" ht="17.399999999999999" customHeight="1">
      <c r="A162" s="274">
        <v>3335</v>
      </c>
      <c r="B162" s="283" t="s">
        <v>656</v>
      </c>
      <c r="C162" s="283">
        <v>16</v>
      </c>
      <c r="D162" s="276">
        <v>12</v>
      </c>
      <c r="E162" s="261" t="s">
        <v>667</v>
      </c>
      <c r="F162" s="309" t="s">
        <v>82</v>
      </c>
      <c r="G162" s="319">
        <v>43390</v>
      </c>
      <c r="H162" s="277">
        <v>43387</v>
      </c>
      <c r="I162" s="276"/>
      <c r="J162" s="278">
        <v>1</v>
      </c>
      <c r="K162" s="279">
        <v>0.1</v>
      </c>
      <c r="L162" s="278">
        <f t="shared" si="8"/>
        <v>16</v>
      </c>
      <c r="M162" s="280">
        <f t="shared" si="9"/>
        <v>0.64</v>
      </c>
      <c r="N162" s="281">
        <v>3</v>
      </c>
      <c r="O162" s="320">
        <v>43389</v>
      </c>
      <c r="P162" s="314">
        <v>1</v>
      </c>
      <c r="Q162" s="276">
        <v>0</v>
      </c>
      <c r="R162" s="276">
        <v>3</v>
      </c>
      <c r="S162" s="276">
        <v>2</v>
      </c>
      <c r="T162" s="276">
        <v>4</v>
      </c>
      <c r="U162" s="276">
        <v>0</v>
      </c>
      <c r="V162" s="276">
        <v>2</v>
      </c>
      <c r="W162" s="276">
        <v>1</v>
      </c>
      <c r="X162" s="328">
        <v>2</v>
      </c>
      <c r="Y162" s="282">
        <v>1</v>
      </c>
    </row>
    <row r="163" spans="1:25" s="273" customFormat="1" ht="17.399999999999999" customHeight="1">
      <c r="A163" s="331">
        <v>3335</v>
      </c>
      <c r="B163" s="332" t="s">
        <v>656</v>
      </c>
      <c r="C163" s="332">
        <v>16</v>
      </c>
      <c r="D163" s="333">
        <v>12</v>
      </c>
      <c r="E163" s="334" t="s">
        <v>667</v>
      </c>
      <c r="F163" s="335" t="s">
        <v>82</v>
      </c>
      <c r="G163" s="336"/>
      <c r="H163" s="337">
        <v>43396</v>
      </c>
      <c r="I163" s="333"/>
      <c r="J163" s="338">
        <v>2</v>
      </c>
      <c r="K163" s="339">
        <v>0.9</v>
      </c>
      <c r="L163" s="338">
        <f t="shared" si="8"/>
        <v>17</v>
      </c>
      <c r="M163" s="340">
        <f t="shared" si="9"/>
        <v>0.68</v>
      </c>
      <c r="N163" s="341" t="s">
        <v>32</v>
      </c>
      <c r="O163" s="342">
        <v>43403</v>
      </c>
      <c r="P163" s="343">
        <v>1</v>
      </c>
      <c r="Q163" s="333">
        <v>0</v>
      </c>
      <c r="R163" s="333">
        <v>3</v>
      </c>
      <c r="S163" s="333">
        <v>2</v>
      </c>
      <c r="T163" s="333">
        <v>4</v>
      </c>
      <c r="U163" s="333">
        <v>0</v>
      </c>
      <c r="V163" s="333">
        <v>2</v>
      </c>
      <c r="W163" s="333">
        <v>1</v>
      </c>
      <c r="X163" s="333">
        <v>2</v>
      </c>
      <c r="Y163" s="344">
        <v>2</v>
      </c>
    </row>
    <row r="164" spans="1:25" s="273" customFormat="1" ht="17.399999999999999" customHeight="1">
      <c r="A164" s="274">
        <v>3336</v>
      </c>
      <c r="B164" s="283" t="s">
        <v>656</v>
      </c>
      <c r="C164" s="283">
        <v>17</v>
      </c>
      <c r="D164" s="276">
        <v>11</v>
      </c>
      <c r="E164" s="287" t="s">
        <v>668</v>
      </c>
      <c r="F164" s="310" t="s">
        <v>385</v>
      </c>
      <c r="G164" s="319">
        <v>43390</v>
      </c>
      <c r="H164" s="277">
        <v>43387</v>
      </c>
      <c r="I164" s="276"/>
      <c r="J164" s="278">
        <v>1</v>
      </c>
      <c r="K164" s="279">
        <v>1</v>
      </c>
      <c r="L164" s="278">
        <f t="shared" si="8"/>
        <v>21</v>
      </c>
      <c r="M164" s="280">
        <f t="shared" si="9"/>
        <v>0.84</v>
      </c>
      <c r="N164" s="281">
        <v>4</v>
      </c>
      <c r="O164" s="320">
        <v>43389</v>
      </c>
      <c r="P164" s="314">
        <v>1</v>
      </c>
      <c r="Q164" s="276">
        <v>4</v>
      </c>
      <c r="R164" s="276">
        <v>3</v>
      </c>
      <c r="S164" s="276">
        <v>2</v>
      </c>
      <c r="T164" s="276">
        <v>4</v>
      </c>
      <c r="U164" s="276">
        <v>1</v>
      </c>
      <c r="V164" s="276">
        <v>3</v>
      </c>
      <c r="W164" s="276">
        <v>1</v>
      </c>
      <c r="X164" s="328">
        <v>0</v>
      </c>
      <c r="Y164" s="282">
        <v>2</v>
      </c>
    </row>
    <row r="165" spans="1:25" s="273" customFormat="1" ht="17.399999999999999" customHeight="1">
      <c r="A165" s="274">
        <v>3337</v>
      </c>
      <c r="B165" s="283" t="s">
        <v>656</v>
      </c>
      <c r="C165" s="283">
        <v>18</v>
      </c>
      <c r="D165" s="276">
        <v>11</v>
      </c>
      <c r="E165" s="261" t="s">
        <v>669</v>
      </c>
      <c r="F165" s="309" t="s">
        <v>675</v>
      </c>
      <c r="G165" s="319">
        <v>43390</v>
      </c>
      <c r="H165" s="277">
        <v>43390</v>
      </c>
      <c r="I165" s="276"/>
      <c r="J165" s="278">
        <v>1</v>
      </c>
      <c r="K165" s="279">
        <v>1</v>
      </c>
      <c r="L165" s="278">
        <f t="shared" si="8"/>
        <v>25</v>
      </c>
      <c r="M165" s="280">
        <f t="shared" si="9"/>
        <v>1</v>
      </c>
      <c r="N165" s="281">
        <v>5</v>
      </c>
      <c r="O165" s="320">
        <v>43392</v>
      </c>
      <c r="P165" s="314">
        <v>1</v>
      </c>
      <c r="Q165" s="276">
        <v>5</v>
      </c>
      <c r="R165" s="276">
        <v>4</v>
      </c>
      <c r="S165" s="276">
        <v>2</v>
      </c>
      <c r="T165" s="276">
        <v>4</v>
      </c>
      <c r="U165" s="276">
        <v>1</v>
      </c>
      <c r="V165" s="276">
        <v>3</v>
      </c>
      <c r="W165" s="276">
        <v>1</v>
      </c>
      <c r="X165" s="328">
        <v>2</v>
      </c>
      <c r="Y165" s="282">
        <v>2</v>
      </c>
    </row>
    <row r="166" spans="1:25" s="273" customFormat="1" ht="17.399999999999999" customHeight="1">
      <c r="A166" s="274">
        <v>3338</v>
      </c>
      <c r="B166" s="283" t="s">
        <v>656</v>
      </c>
      <c r="C166" s="283">
        <v>19</v>
      </c>
      <c r="D166" s="276">
        <v>11</v>
      </c>
      <c r="E166" s="287" t="s">
        <v>357</v>
      </c>
      <c r="F166" s="310" t="s">
        <v>18</v>
      </c>
      <c r="G166" s="319">
        <v>43390</v>
      </c>
      <c r="H166" s="277">
        <v>43390</v>
      </c>
      <c r="I166" s="276"/>
      <c r="J166" s="278">
        <v>1</v>
      </c>
      <c r="K166" s="279">
        <v>1</v>
      </c>
      <c r="L166" s="278">
        <f t="shared" si="8"/>
        <v>23</v>
      </c>
      <c r="M166" s="280">
        <f t="shared" si="9"/>
        <v>0.92</v>
      </c>
      <c r="N166" s="281" t="s">
        <v>33</v>
      </c>
      <c r="O166" s="320">
        <v>43392</v>
      </c>
      <c r="P166" s="314">
        <v>1</v>
      </c>
      <c r="Q166" s="276">
        <v>4</v>
      </c>
      <c r="R166" s="276">
        <v>4</v>
      </c>
      <c r="S166" s="276">
        <v>1</v>
      </c>
      <c r="T166" s="276">
        <v>4</v>
      </c>
      <c r="U166" s="276">
        <v>1</v>
      </c>
      <c r="V166" s="276">
        <v>3</v>
      </c>
      <c r="W166" s="276">
        <v>1</v>
      </c>
      <c r="X166" s="328">
        <v>2</v>
      </c>
      <c r="Y166" s="282">
        <v>2</v>
      </c>
    </row>
    <row r="167" spans="1:25" s="273" customFormat="1" ht="17.399999999999999" customHeight="1">
      <c r="A167" s="274">
        <v>3339</v>
      </c>
      <c r="B167" s="283" t="s">
        <v>656</v>
      </c>
      <c r="C167" s="283">
        <v>20</v>
      </c>
      <c r="D167" s="276">
        <v>11</v>
      </c>
      <c r="E167" s="261" t="s">
        <v>387</v>
      </c>
      <c r="F167" s="310" t="s">
        <v>65</v>
      </c>
      <c r="G167" s="319">
        <v>43390</v>
      </c>
      <c r="H167" s="277">
        <v>43387</v>
      </c>
      <c r="I167" s="276"/>
      <c r="J167" s="278">
        <v>1</v>
      </c>
      <c r="K167" s="279">
        <v>1</v>
      </c>
      <c r="L167" s="278">
        <f t="shared" si="8"/>
        <v>25</v>
      </c>
      <c r="M167" s="280">
        <f t="shared" si="9"/>
        <v>1</v>
      </c>
      <c r="N167" s="281">
        <v>5</v>
      </c>
      <c r="O167" s="320">
        <v>43389</v>
      </c>
      <c r="P167" s="314">
        <v>1</v>
      </c>
      <c r="Q167" s="276">
        <v>5</v>
      </c>
      <c r="R167" s="276">
        <v>4</v>
      </c>
      <c r="S167" s="276">
        <v>2</v>
      </c>
      <c r="T167" s="276">
        <v>4</v>
      </c>
      <c r="U167" s="276">
        <v>1</v>
      </c>
      <c r="V167" s="276">
        <v>3</v>
      </c>
      <c r="W167" s="276">
        <v>1</v>
      </c>
      <c r="X167" s="328">
        <v>2</v>
      </c>
      <c r="Y167" s="282">
        <v>2</v>
      </c>
    </row>
    <row r="168" spans="1:25" s="273" customFormat="1" ht="17.399999999999999" customHeight="1">
      <c r="A168" s="274">
        <v>3340</v>
      </c>
      <c r="B168" s="283" t="s">
        <v>656</v>
      </c>
      <c r="C168" s="283">
        <v>21</v>
      </c>
      <c r="D168" s="276">
        <v>12</v>
      </c>
      <c r="E168" s="261" t="s">
        <v>387</v>
      </c>
      <c r="F168" s="309" t="s">
        <v>47</v>
      </c>
      <c r="G168" s="319">
        <v>43390</v>
      </c>
      <c r="H168" s="277">
        <v>43388</v>
      </c>
      <c r="I168" s="276"/>
      <c r="J168" s="278">
        <v>1</v>
      </c>
      <c r="K168" s="279">
        <v>1</v>
      </c>
      <c r="L168" s="278">
        <f t="shared" si="8"/>
        <v>23</v>
      </c>
      <c r="M168" s="280">
        <f t="shared" si="9"/>
        <v>0.92</v>
      </c>
      <c r="N168" s="281" t="s">
        <v>33</v>
      </c>
      <c r="O168" s="320">
        <v>43389</v>
      </c>
      <c r="P168" s="314">
        <v>1</v>
      </c>
      <c r="Q168" s="276">
        <v>4</v>
      </c>
      <c r="R168" s="276">
        <v>3</v>
      </c>
      <c r="S168" s="276">
        <v>2</v>
      </c>
      <c r="T168" s="276">
        <v>4</v>
      </c>
      <c r="U168" s="276">
        <v>1</v>
      </c>
      <c r="V168" s="276">
        <v>3</v>
      </c>
      <c r="W168" s="276">
        <v>1</v>
      </c>
      <c r="X168" s="328">
        <v>2</v>
      </c>
      <c r="Y168" s="282">
        <v>2</v>
      </c>
    </row>
    <row r="169" spans="1:25" s="273" customFormat="1" ht="17.399999999999999" customHeight="1">
      <c r="A169" s="274">
        <v>3341</v>
      </c>
      <c r="B169" s="283" t="s">
        <v>656</v>
      </c>
      <c r="C169" s="283">
        <v>22</v>
      </c>
      <c r="D169" s="276">
        <v>11</v>
      </c>
      <c r="E169" s="261" t="s">
        <v>670</v>
      </c>
      <c r="F169" s="310" t="s">
        <v>385</v>
      </c>
      <c r="G169" s="319">
        <v>43390</v>
      </c>
      <c r="H169" s="277">
        <v>43388</v>
      </c>
      <c r="I169" s="276"/>
      <c r="J169" s="278">
        <v>1</v>
      </c>
      <c r="K169" s="279">
        <v>1</v>
      </c>
      <c r="L169" s="278">
        <f t="shared" si="8"/>
        <v>12</v>
      </c>
      <c r="M169" s="305">
        <f t="shared" si="9"/>
        <v>0.48</v>
      </c>
      <c r="N169" s="281" t="s">
        <v>35</v>
      </c>
      <c r="O169" s="323">
        <v>43389</v>
      </c>
      <c r="P169" s="314"/>
      <c r="Q169" s="276">
        <v>2</v>
      </c>
      <c r="R169" s="276">
        <v>3</v>
      </c>
      <c r="S169" s="276">
        <v>0</v>
      </c>
      <c r="T169" s="276">
        <v>4</v>
      </c>
      <c r="U169" s="276">
        <v>0</v>
      </c>
      <c r="V169" s="276">
        <v>1</v>
      </c>
      <c r="W169" s="276">
        <v>1</v>
      </c>
      <c r="X169" s="328">
        <v>1</v>
      </c>
      <c r="Y169" s="282"/>
    </row>
    <row r="170" spans="1:25" s="273" customFormat="1" ht="17.399999999999999" customHeight="1">
      <c r="A170" s="274">
        <v>3342</v>
      </c>
      <c r="B170" s="283" t="s">
        <v>656</v>
      </c>
      <c r="C170" s="283">
        <v>23</v>
      </c>
      <c r="D170" s="276">
        <v>8</v>
      </c>
      <c r="E170" s="261" t="s">
        <v>671</v>
      </c>
      <c r="F170" s="309" t="s">
        <v>14</v>
      </c>
      <c r="G170" s="319">
        <v>43390</v>
      </c>
      <c r="H170" s="277">
        <v>43388</v>
      </c>
      <c r="I170" s="276"/>
      <c r="J170" s="278">
        <v>1</v>
      </c>
      <c r="K170" s="279">
        <v>1</v>
      </c>
      <c r="L170" s="278">
        <f t="shared" si="8"/>
        <v>25</v>
      </c>
      <c r="M170" s="305">
        <f t="shared" si="9"/>
        <v>1</v>
      </c>
      <c r="N170" s="281">
        <v>5</v>
      </c>
      <c r="O170" s="323">
        <v>43389</v>
      </c>
      <c r="P170" s="314">
        <v>1</v>
      </c>
      <c r="Q170" s="276">
        <v>5</v>
      </c>
      <c r="R170" s="276">
        <v>4</v>
      </c>
      <c r="S170" s="276">
        <v>2</v>
      </c>
      <c r="T170" s="276">
        <v>4</v>
      </c>
      <c r="U170" s="276">
        <v>1</v>
      </c>
      <c r="V170" s="276">
        <v>3</v>
      </c>
      <c r="W170" s="276">
        <v>1</v>
      </c>
      <c r="X170" s="328">
        <v>2</v>
      </c>
      <c r="Y170" s="282">
        <v>2</v>
      </c>
    </row>
    <row r="171" spans="1:25" s="273" customFormat="1" ht="17.399999999999999" customHeight="1">
      <c r="A171" s="274">
        <v>3343</v>
      </c>
      <c r="B171" s="283" t="s">
        <v>656</v>
      </c>
      <c r="C171" s="283">
        <v>24</v>
      </c>
      <c r="D171" s="276">
        <v>12</v>
      </c>
      <c r="E171" s="261" t="s">
        <v>360</v>
      </c>
      <c r="F171" s="309" t="s">
        <v>79</v>
      </c>
      <c r="G171" s="319">
        <v>43390</v>
      </c>
      <c r="H171" s="276"/>
      <c r="I171" s="277" t="s">
        <v>208</v>
      </c>
      <c r="J171" s="278">
        <v>1</v>
      </c>
      <c r="K171" s="279">
        <v>0.1</v>
      </c>
      <c r="L171" s="278">
        <f t="shared" si="8"/>
        <v>0</v>
      </c>
      <c r="M171" s="305">
        <f t="shared" si="9"/>
        <v>0</v>
      </c>
      <c r="N171" s="306">
        <v>1</v>
      </c>
      <c r="O171" s="323">
        <v>43392</v>
      </c>
      <c r="P171" s="314"/>
      <c r="Q171" s="276"/>
      <c r="R171" s="276"/>
      <c r="S171" s="276"/>
      <c r="T171" s="276"/>
      <c r="U171" s="276"/>
      <c r="V171" s="276"/>
      <c r="W171" s="276"/>
      <c r="X171" s="328"/>
      <c r="Y171" s="282"/>
    </row>
    <row r="172" spans="1:25" s="273" customFormat="1" ht="17.399999999999999" customHeight="1">
      <c r="A172" s="331">
        <v>3343</v>
      </c>
      <c r="B172" s="332" t="s">
        <v>656</v>
      </c>
      <c r="C172" s="332">
        <v>24</v>
      </c>
      <c r="D172" s="333">
        <v>12</v>
      </c>
      <c r="E172" s="334" t="s">
        <v>360</v>
      </c>
      <c r="F172" s="335" t="s">
        <v>79</v>
      </c>
      <c r="G172" s="336"/>
      <c r="H172" s="337">
        <v>43395</v>
      </c>
      <c r="I172" s="337"/>
      <c r="J172" s="338">
        <v>2</v>
      </c>
      <c r="K172" s="339">
        <v>0.9</v>
      </c>
      <c r="L172" s="338">
        <f t="shared" si="8"/>
        <v>14.5</v>
      </c>
      <c r="M172" s="345">
        <f t="shared" si="9"/>
        <v>0.57999999999999996</v>
      </c>
      <c r="N172" s="341">
        <v>3</v>
      </c>
      <c r="O172" s="342">
        <v>43395</v>
      </c>
      <c r="P172" s="343">
        <v>1</v>
      </c>
      <c r="Q172" s="333">
        <v>5</v>
      </c>
      <c r="R172" s="333">
        <v>1</v>
      </c>
      <c r="S172" s="333">
        <v>0</v>
      </c>
      <c r="T172" s="333">
        <v>2</v>
      </c>
      <c r="U172" s="333">
        <v>0</v>
      </c>
      <c r="V172" s="333">
        <v>3</v>
      </c>
      <c r="W172" s="333">
        <v>0.5</v>
      </c>
      <c r="X172" s="333">
        <v>2</v>
      </c>
      <c r="Y172" s="344"/>
    </row>
    <row r="173" spans="1:25" s="273" customFormat="1" ht="17.399999999999999" customHeight="1">
      <c r="A173" s="274">
        <v>3344</v>
      </c>
      <c r="B173" s="283" t="s">
        <v>656</v>
      </c>
      <c r="C173" s="283">
        <v>25</v>
      </c>
      <c r="D173" s="276">
        <v>12</v>
      </c>
      <c r="E173" s="261" t="s">
        <v>640</v>
      </c>
      <c r="F173" s="309" t="s">
        <v>19</v>
      </c>
      <c r="G173" s="319">
        <v>43390</v>
      </c>
      <c r="H173" s="277">
        <v>43388</v>
      </c>
      <c r="I173" s="276"/>
      <c r="J173" s="278">
        <v>1</v>
      </c>
      <c r="K173" s="279">
        <v>1</v>
      </c>
      <c r="L173" s="278">
        <f t="shared" si="8"/>
        <v>20.5</v>
      </c>
      <c r="M173" s="305">
        <f t="shared" si="9"/>
        <v>0.82</v>
      </c>
      <c r="N173" s="281">
        <v>4</v>
      </c>
      <c r="O173" s="323">
        <v>43389</v>
      </c>
      <c r="P173" s="314">
        <v>1</v>
      </c>
      <c r="Q173" s="276">
        <v>5</v>
      </c>
      <c r="R173" s="276">
        <v>2</v>
      </c>
      <c r="S173" s="276">
        <v>2</v>
      </c>
      <c r="T173" s="276">
        <v>4</v>
      </c>
      <c r="U173" s="276">
        <v>1</v>
      </c>
      <c r="V173" s="276">
        <v>3</v>
      </c>
      <c r="W173" s="276">
        <v>0.5</v>
      </c>
      <c r="X173" s="328">
        <v>0</v>
      </c>
      <c r="Y173" s="282">
        <v>2</v>
      </c>
    </row>
    <row r="174" spans="1:25" s="273" customFormat="1" ht="17.399999999999999" customHeight="1" thickBot="1">
      <c r="A174" s="288">
        <v>3345</v>
      </c>
      <c r="B174" s="297" t="s">
        <v>656</v>
      </c>
      <c r="C174" s="297">
        <v>26</v>
      </c>
      <c r="D174" s="290">
        <v>12</v>
      </c>
      <c r="E174" s="263" t="s">
        <v>110</v>
      </c>
      <c r="F174" s="312" t="s">
        <v>12</v>
      </c>
      <c r="G174" s="321">
        <v>43390</v>
      </c>
      <c r="H174" s="291">
        <v>43388</v>
      </c>
      <c r="I174" s="290"/>
      <c r="J174" s="292">
        <v>1</v>
      </c>
      <c r="K174" s="293">
        <v>1</v>
      </c>
      <c r="L174" s="292">
        <f t="shared" si="8"/>
        <v>25</v>
      </c>
      <c r="M174" s="326">
        <f t="shared" si="9"/>
        <v>1</v>
      </c>
      <c r="N174" s="295">
        <v>5</v>
      </c>
      <c r="O174" s="327">
        <v>43389</v>
      </c>
      <c r="P174" s="315">
        <v>1</v>
      </c>
      <c r="Q174" s="290">
        <v>5</v>
      </c>
      <c r="R174" s="290">
        <v>4</v>
      </c>
      <c r="S174" s="290">
        <v>2</v>
      </c>
      <c r="T174" s="290">
        <v>4</v>
      </c>
      <c r="U174" s="290">
        <v>1</v>
      </c>
      <c r="V174" s="290">
        <v>3</v>
      </c>
      <c r="W174" s="290">
        <v>1</v>
      </c>
      <c r="X174" s="329">
        <v>2</v>
      </c>
      <c r="Y174" s="296">
        <v>2</v>
      </c>
    </row>
    <row r="175" spans="1:25" ht="14.4" thickTop="1"/>
  </sheetData>
  <autoFilter ref="A1:Y174">
    <sortState ref="A4:Y156">
      <sortCondition ref="B1:B156"/>
    </sortState>
  </autoFilter>
  <mergeCells count="13">
    <mergeCell ref="I1:I2"/>
    <mergeCell ref="K1:K2"/>
    <mergeCell ref="J1:J2"/>
    <mergeCell ref="O1:O2"/>
    <mergeCell ref="A1:A2"/>
    <mergeCell ref="B1:B2"/>
    <mergeCell ref="C1:C2"/>
    <mergeCell ref="E1:E2"/>
    <mergeCell ref="F1:F2"/>
    <mergeCell ref="N1:N2"/>
    <mergeCell ref="G1:G2"/>
    <mergeCell ref="D1:D2"/>
    <mergeCell ref="H1:H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73"/>
  <sheetViews>
    <sheetView workbookViewId="0">
      <pane ySplit="2" topLeftCell="A124" activePane="bottomLeft" state="frozen"/>
      <selection activeCell="I120" sqref="I120"/>
      <selection pane="bottomLeft" sqref="A1:F1048576"/>
    </sheetView>
  </sheetViews>
  <sheetFormatPr defaultRowHeight="13.2"/>
  <cols>
    <col min="1" max="4" width="5.6640625" style="367" customWidth="1"/>
    <col min="5" max="6" width="14.6640625" style="367" customWidth="1"/>
    <col min="7" max="8" width="11.6640625" style="367" customWidth="1"/>
    <col min="9" max="9" width="26.6640625" style="367" customWidth="1"/>
    <col min="10" max="12" width="5.6640625" style="367" customWidth="1"/>
    <col min="13" max="13" width="8.33203125" style="367" bestFit="1" customWidth="1"/>
    <col min="14" max="14" width="5.6640625" style="367" customWidth="1"/>
    <col min="15" max="15" width="11.6640625" style="367" customWidth="1"/>
    <col min="16" max="50" width="4.6640625" style="367" customWidth="1"/>
    <col min="51" max="16384" width="8.88671875" style="367"/>
  </cols>
  <sheetData>
    <row r="1" spans="1:50" ht="97.8">
      <c r="A1" s="562" t="s">
        <v>3</v>
      </c>
      <c r="B1" s="560" t="s">
        <v>4</v>
      </c>
      <c r="C1" s="560" t="s">
        <v>6</v>
      </c>
      <c r="D1" s="560" t="s">
        <v>5</v>
      </c>
      <c r="E1" s="560" t="s">
        <v>7</v>
      </c>
      <c r="F1" s="560" t="s">
        <v>42</v>
      </c>
      <c r="G1" s="558" t="s">
        <v>200</v>
      </c>
      <c r="H1" s="564" t="s">
        <v>201</v>
      </c>
      <c r="I1" s="560" t="s">
        <v>203</v>
      </c>
      <c r="J1" s="556" t="s">
        <v>204</v>
      </c>
      <c r="K1" s="556" t="s">
        <v>205</v>
      </c>
      <c r="L1" s="364" t="s">
        <v>206</v>
      </c>
      <c r="M1" s="556" t="s">
        <v>29</v>
      </c>
      <c r="N1" s="556" t="s">
        <v>28</v>
      </c>
      <c r="O1" s="365" t="s">
        <v>207</v>
      </c>
      <c r="P1" s="364" t="s">
        <v>194</v>
      </c>
      <c r="Q1" s="438" t="s">
        <v>262</v>
      </c>
      <c r="R1" s="364" t="s">
        <v>261</v>
      </c>
      <c r="S1" s="364" t="s">
        <v>260</v>
      </c>
      <c r="T1" s="364" t="s">
        <v>259</v>
      </c>
      <c r="U1" s="364" t="s">
        <v>258</v>
      </c>
      <c r="V1" s="434" t="s">
        <v>257</v>
      </c>
      <c r="W1" s="364" t="s">
        <v>698</v>
      </c>
      <c r="X1" s="364" t="s">
        <v>256</v>
      </c>
      <c r="Y1" s="364" t="s">
        <v>255</v>
      </c>
      <c r="Z1" s="364" t="s">
        <v>254</v>
      </c>
      <c r="AA1" s="364" t="s">
        <v>253</v>
      </c>
      <c r="AB1" s="364" t="s">
        <v>252</v>
      </c>
      <c r="AC1" s="364" t="s">
        <v>251</v>
      </c>
      <c r="AD1" s="364" t="s">
        <v>250</v>
      </c>
      <c r="AE1" s="364" t="s">
        <v>249</v>
      </c>
      <c r="AF1" s="438" t="s">
        <v>248</v>
      </c>
      <c r="AG1" s="364" t="s">
        <v>247</v>
      </c>
      <c r="AH1" s="364" t="s">
        <v>246</v>
      </c>
      <c r="AI1" s="434" t="s">
        <v>245</v>
      </c>
      <c r="AJ1" s="364" t="s">
        <v>244</v>
      </c>
      <c r="AK1" s="364" t="s">
        <v>243</v>
      </c>
      <c r="AL1" s="364" t="s">
        <v>242</v>
      </c>
      <c r="AM1" s="364" t="s">
        <v>241</v>
      </c>
      <c r="AN1" s="438" t="s">
        <v>240</v>
      </c>
      <c r="AO1" s="364" t="s">
        <v>239</v>
      </c>
      <c r="AP1" s="364" t="s">
        <v>238</v>
      </c>
      <c r="AQ1" s="434" t="s">
        <v>237</v>
      </c>
      <c r="AR1" s="438" t="s">
        <v>236</v>
      </c>
      <c r="AS1" s="364" t="s">
        <v>235</v>
      </c>
      <c r="AT1" s="364" t="s">
        <v>234</v>
      </c>
      <c r="AU1" s="434" t="s">
        <v>233</v>
      </c>
      <c r="AV1" s="364" t="s">
        <v>232</v>
      </c>
      <c r="AW1" s="364" t="s">
        <v>231</v>
      </c>
      <c r="AX1" s="366" t="s">
        <v>230</v>
      </c>
    </row>
    <row r="2" spans="1:50" ht="13.8" thickBot="1">
      <c r="A2" s="563"/>
      <c r="B2" s="561"/>
      <c r="C2" s="561"/>
      <c r="D2" s="561"/>
      <c r="E2" s="561"/>
      <c r="F2" s="561"/>
      <c r="G2" s="559"/>
      <c r="H2" s="565"/>
      <c r="I2" s="561"/>
      <c r="J2" s="557"/>
      <c r="K2" s="557"/>
      <c r="L2" s="368">
        <f>SUM(P2:AX2)</f>
        <v>37</v>
      </c>
      <c r="M2" s="557"/>
      <c r="N2" s="557"/>
      <c r="O2" s="369"/>
      <c r="P2" s="368"/>
      <c r="Q2" s="439">
        <v>1</v>
      </c>
      <c r="R2" s="368">
        <v>1</v>
      </c>
      <c r="S2" s="368">
        <v>1</v>
      </c>
      <c r="T2" s="368">
        <v>1</v>
      </c>
      <c r="U2" s="368">
        <v>1</v>
      </c>
      <c r="V2" s="435">
        <v>1</v>
      </c>
      <c r="W2" s="368">
        <v>1</v>
      </c>
      <c r="X2" s="368">
        <v>1</v>
      </c>
      <c r="Y2" s="368">
        <v>1</v>
      </c>
      <c r="Z2" s="368">
        <v>1</v>
      </c>
      <c r="AA2" s="368">
        <v>1</v>
      </c>
      <c r="AB2" s="368">
        <v>1</v>
      </c>
      <c r="AC2" s="368">
        <v>1</v>
      </c>
      <c r="AD2" s="368">
        <v>1</v>
      </c>
      <c r="AE2" s="368">
        <v>1</v>
      </c>
      <c r="AF2" s="439">
        <v>1</v>
      </c>
      <c r="AG2" s="368">
        <v>1</v>
      </c>
      <c r="AH2" s="368">
        <v>1</v>
      </c>
      <c r="AI2" s="435">
        <v>1</v>
      </c>
      <c r="AJ2" s="368">
        <v>1</v>
      </c>
      <c r="AK2" s="368">
        <v>1</v>
      </c>
      <c r="AL2" s="368">
        <v>1</v>
      </c>
      <c r="AM2" s="368">
        <v>1</v>
      </c>
      <c r="AN2" s="439">
        <v>1</v>
      </c>
      <c r="AO2" s="368">
        <v>1</v>
      </c>
      <c r="AP2" s="368">
        <v>1</v>
      </c>
      <c r="AQ2" s="435">
        <v>1</v>
      </c>
      <c r="AR2" s="439">
        <v>1</v>
      </c>
      <c r="AS2" s="368">
        <v>1</v>
      </c>
      <c r="AT2" s="368">
        <v>1</v>
      </c>
      <c r="AU2" s="435">
        <v>1</v>
      </c>
      <c r="AV2" s="368">
        <v>2</v>
      </c>
      <c r="AW2" s="368">
        <v>1</v>
      </c>
      <c r="AX2" s="369">
        <v>3</v>
      </c>
    </row>
    <row r="3" spans="1:50" ht="17.399999999999999" customHeight="1" thickTop="1">
      <c r="A3" s="398">
        <v>3196</v>
      </c>
      <c r="B3" s="399" t="s">
        <v>21</v>
      </c>
      <c r="C3" s="399">
        <v>1</v>
      </c>
      <c r="D3" s="400">
        <v>2</v>
      </c>
      <c r="E3" s="401" t="s">
        <v>51</v>
      </c>
      <c r="F3" s="402" t="s">
        <v>66</v>
      </c>
      <c r="G3" s="428">
        <v>43420</v>
      </c>
      <c r="H3" s="370">
        <v>43420</v>
      </c>
      <c r="I3" s="370"/>
      <c r="J3" s="371">
        <v>1</v>
      </c>
      <c r="K3" s="371">
        <v>1.5</v>
      </c>
      <c r="L3" s="371">
        <f>SUM(P3:AX3)</f>
        <v>27</v>
      </c>
      <c r="M3" s="372">
        <f>L3/$L$2</f>
        <v>0.72972972972972971</v>
      </c>
      <c r="N3" s="371" t="s">
        <v>30</v>
      </c>
      <c r="O3" s="429">
        <v>43420</v>
      </c>
      <c r="P3" s="373"/>
      <c r="Q3" s="374">
        <v>1</v>
      </c>
      <c r="R3" s="373">
        <v>1</v>
      </c>
      <c r="S3" s="373">
        <v>0</v>
      </c>
      <c r="T3" s="373">
        <v>1</v>
      </c>
      <c r="U3" s="373">
        <v>1</v>
      </c>
      <c r="V3" s="375">
        <v>1</v>
      </c>
      <c r="W3" s="373">
        <v>1</v>
      </c>
      <c r="X3" s="373">
        <v>1</v>
      </c>
      <c r="Y3" s="373">
        <v>0</v>
      </c>
      <c r="Z3" s="373">
        <v>1</v>
      </c>
      <c r="AA3" s="373">
        <v>1</v>
      </c>
      <c r="AB3" s="373">
        <v>1</v>
      </c>
      <c r="AC3" s="373">
        <v>1</v>
      </c>
      <c r="AD3" s="373">
        <v>1</v>
      </c>
      <c r="AE3" s="373">
        <v>1</v>
      </c>
      <c r="AF3" s="374">
        <v>1</v>
      </c>
      <c r="AG3" s="373">
        <v>1</v>
      </c>
      <c r="AH3" s="373">
        <v>1</v>
      </c>
      <c r="AI3" s="375">
        <v>1</v>
      </c>
      <c r="AJ3" s="373">
        <v>1</v>
      </c>
      <c r="AK3" s="373">
        <v>1</v>
      </c>
      <c r="AL3" s="373">
        <v>1</v>
      </c>
      <c r="AM3" s="373">
        <v>1</v>
      </c>
      <c r="AN3" s="374">
        <v>1</v>
      </c>
      <c r="AO3" s="373">
        <v>1</v>
      </c>
      <c r="AP3" s="373">
        <v>1</v>
      </c>
      <c r="AQ3" s="375">
        <v>1</v>
      </c>
      <c r="AR3" s="374">
        <v>1</v>
      </c>
      <c r="AS3" s="373">
        <v>0</v>
      </c>
      <c r="AT3" s="373">
        <v>0</v>
      </c>
      <c r="AU3" s="375">
        <v>1</v>
      </c>
      <c r="AV3" s="373">
        <v>0</v>
      </c>
      <c r="AW3" s="373">
        <v>0</v>
      </c>
      <c r="AX3" s="376">
        <v>0</v>
      </c>
    </row>
    <row r="4" spans="1:50" ht="17.399999999999999" customHeight="1">
      <c r="A4" s="403">
        <v>3197</v>
      </c>
      <c r="B4" s="404" t="s">
        <v>21</v>
      </c>
      <c r="C4" s="404">
        <v>2</v>
      </c>
      <c r="D4" s="405">
        <v>3</v>
      </c>
      <c r="E4" s="406" t="s">
        <v>134</v>
      </c>
      <c r="F4" s="407" t="s">
        <v>14</v>
      </c>
      <c r="G4" s="430">
        <v>43402</v>
      </c>
      <c r="H4" s="377">
        <v>43402</v>
      </c>
      <c r="I4" s="377"/>
      <c r="J4" s="378">
        <v>1</v>
      </c>
      <c r="K4" s="378">
        <v>1.5</v>
      </c>
      <c r="L4" s="378">
        <f t="shared" ref="L4:L73" si="0">SUM(P4:AX4)</f>
        <v>37</v>
      </c>
      <c r="M4" s="408">
        <f t="shared" ref="M4:M73" si="1">L4/$L$2</f>
        <v>1</v>
      </c>
      <c r="N4" s="378">
        <v>6</v>
      </c>
      <c r="O4" s="431">
        <v>43409</v>
      </c>
      <c r="P4" s="379"/>
      <c r="Q4" s="380">
        <v>1</v>
      </c>
      <c r="R4" s="379">
        <v>1</v>
      </c>
      <c r="S4" s="379">
        <v>1</v>
      </c>
      <c r="T4" s="379">
        <v>1</v>
      </c>
      <c r="U4" s="379">
        <v>1</v>
      </c>
      <c r="V4" s="381">
        <v>1</v>
      </c>
      <c r="W4" s="379">
        <v>1</v>
      </c>
      <c r="X4" s="379">
        <v>1</v>
      </c>
      <c r="Y4" s="379">
        <v>1</v>
      </c>
      <c r="Z4" s="379">
        <v>1</v>
      </c>
      <c r="AA4" s="379">
        <v>1</v>
      </c>
      <c r="AB4" s="379">
        <v>1</v>
      </c>
      <c r="AC4" s="379">
        <v>1</v>
      </c>
      <c r="AD4" s="379">
        <v>1</v>
      </c>
      <c r="AE4" s="379">
        <v>1</v>
      </c>
      <c r="AF4" s="380">
        <v>1</v>
      </c>
      <c r="AG4" s="379">
        <v>1</v>
      </c>
      <c r="AH4" s="379">
        <v>1</v>
      </c>
      <c r="AI4" s="381">
        <v>1</v>
      </c>
      <c r="AJ4" s="379">
        <v>1</v>
      </c>
      <c r="AK4" s="379">
        <v>1</v>
      </c>
      <c r="AL4" s="379">
        <v>1</v>
      </c>
      <c r="AM4" s="379">
        <v>1</v>
      </c>
      <c r="AN4" s="380">
        <v>1</v>
      </c>
      <c r="AO4" s="379">
        <v>1</v>
      </c>
      <c r="AP4" s="379">
        <v>1</v>
      </c>
      <c r="AQ4" s="381">
        <v>1</v>
      </c>
      <c r="AR4" s="380">
        <v>1</v>
      </c>
      <c r="AS4" s="379">
        <v>1</v>
      </c>
      <c r="AT4" s="379">
        <v>1</v>
      </c>
      <c r="AU4" s="381">
        <v>1</v>
      </c>
      <c r="AV4" s="379">
        <v>2</v>
      </c>
      <c r="AW4" s="379">
        <v>1</v>
      </c>
      <c r="AX4" s="382">
        <v>3</v>
      </c>
    </row>
    <row r="5" spans="1:50" ht="17.399999999999999" customHeight="1">
      <c r="A5" s="403">
        <v>3198</v>
      </c>
      <c r="B5" s="404" t="s">
        <v>21</v>
      </c>
      <c r="C5" s="404">
        <v>3</v>
      </c>
      <c r="D5" s="405">
        <v>1</v>
      </c>
      <c r="E5" s="406" t="s">
        <v>564</v>
      </c>
      <c r="F5" s="407" t="s">
        <v>400</v>
      </c>
      <c r="G5" s="430">
        <v>43403</v>
      </c>
      <c r="H5" s="377">
        <v>43403</v>
      </c>
      <c r="I5" s="383"/>
      <c r="J5" s="378">
        <v>1</v>
      </c>
      <c r="K5" s="378">
        <v>1.5</v>
      </c>
      <c r="L5" s="378">
        <f t="shared" si="0"/>
        <v>36</v>
      </c>
      <c r="M5" s="408">
        <f t="shared" si="1"/>
        <v>0.97297297297297303</v>
      </c>
      <c r="N5" s="378" t="s">
        <v>36</v>
      </c>
      <c r="O5" s="431">
        <v>43410</v>
      </c>
      <c r="P5" s="379"/>
      <c r="Q5" s="380">
        <v>1</v>
      </c>
      <c r="R5" s="379">
        <v>1</v>
      </c>
      <c r="S5" s="379">
        <v>1</v>
      </c>
      <c r="T5" s="379">
        <v>1</v>
      </c>
      <c r="U5" s="379">
        <v>1</v>
      </c>
      <c r="V5" s="381">
        <v>0</v>
      </c>
      <c r="W5" s="379">
        <v>1</v>
      </c>
      <c r="X5" s="379">
        <v>1</v>
      </c>
      <c r="Y5" s="379">
        <v>1</v>
      </c>
      <c r="Z5" s="379">
        <v>1</v>
      </c>
      <c r="AA5" s="379">
        <v>1</v>
      </c>
      <c r="AB5" s="379">
        <v>1</v>
      </c>
      <c r="AC5" s="379">
        <v>1</v>
      </c>
      <c r="AD5" s="379">
        <v>1</v>
      </c>
      <c r="AE5" s="379">
        <v>1</v>
      </c>
      <c r="AF5" s="380">
        <v>1</v>
      </c>
      <c r="AG5" s="379">
        <v>1</v>
      </c>
      <c r="AH5" s="379">
        <v>1</v>
      </c>
      <c r="AI5" s="381">
        <v>1</v>
      </c>
      <c r="AJ5" s="379">
        <v>1</v>
      </c>
      <c r="AK5" s="379">
        <v>1</v>
      </c>
      <c r="AL5" s="379">
        <v>1</v>
      </c>
      <c r="AM5" s="379">
        <v>1</v>
      </c>
      <c r="AN5" s="380">
        <v>1</v>
      </c>
      <c r="AO5" s="379">
        <v>1</v>
      </c>
      <c r="AP5" s="379">
        <v>1</v>
      </c>
      <c r="AQ5" s="381">
        <v>1</v>
      </c>
      <c r="AR5" s="380">
        <v>1</v>
      </c>
      <c r="AS5" s="379">
        <v>1</v>
      </c>
      <c r="AT5" s="379">
        <v>1</v>
      </c>
      <c r="AU5" s="381">
        <v>1</v>
      </c>
      <c r="AV5" s="379">
        <v>2</v>
      </c>
      <c r="AW5" s="379">
        <v>1</v>
      </c>
      <c r="AX5" s="382">
        <v>3</v>
      </c>
    </row>
    <row r="6" spans="1:50" ht="17.399999999999999" customHeight="1">
      <c r="A6" s="403">
        <v>3199</v>
      </c>
      <c r="B6" s="404" t="s">
        <v>21</v>
      </c>
      <c r="C6" s="404">
        <v>4</v>
      </c>
      <c r="D6" s="405">
        <v>3</v>
      </c>
      <c r="E6" s="406" t="s">
        <v>87</v>
      </c>
      <c r="F6" s="407" t="s">
        <v>176</v>
      </c>
      <c r="G6" s="430">
        <v>43402</v>
      </c>
      <c r="H6" s="377">
        <v>43402</v>
      </c>
      <c r="I6" s="383"/>
      <c r="J6" s="378">
        <v>1</v>
      </c>
      <c r="K6" s="378">
        <v>1.5</v>
      </c>
      <c r="L6" s="378">
        <f t="shared" si="0"/>
        <v>28</v>
      </c>
      <c r="M6" s="408">
        <f t="shared" si="1"/>
        <v>0.7567567567567568</v>
      </c>
      <c r="N6" s="378">
        <v>4</v>
      </c>
      <c r="O6" s="431">
        <v>43409</v>
      </c>
      <c r="P6" s="379"/>
      <c r="Q6" s="380">
        <v>1</v>
      </c>
      <c r="R6" s="379">
        <v>1</v>
      </c>
      <c r="S6" s="379">
        <v>1</v>
      </c>
      <c r="T6" s="379">
        <v>1</v>
      </c>
      <c r="U6" s="379">
        <v>1</v>
      </c>
      <c r="V6" s="381">
        <v>0</v>
      </c>
      <c r="W6" s="379">
        <v>1</v>
      </c>
      <c r="X6" s="379">
        <v>1</v>
      </c>
      <c r="Y6" s="379">
        <v>0</v>
      </c>
      <c r="Z6" s="379">
        <v>1</v>
      </c>
      <c r="AA6" s="379">
        <v>1</v>
      </c>
      <c r="AB6" s="379">
        <v>1</v>
      </c>
      <c r="AC6" s="379">
        <v>1</v>
      </c>
      <c r="AD6" s="379">
        <v>1</v>
      </c>
      <c r="AE6" s="379">
        <v>1</v>
      </c>
      <c r="AF6" s="380">
        <v>0</v>
      </c>
      <c r="AG6" s="379">
        <v>0</v>
      </c>
      <c r="AH6" s="379">
        <v>0</v>
      </c>
      <c r="AI6" s="381">
        <v>0</v>
      </c>
      <c r="AJ6" s="379">
        <v>1</v>
      </c>
      <c r="AK6" s="379">
        <v>1</v>
      </c>
      <c r="AL6" s="379">
        <v>1</v>
      </c>
      <c r="AM6" s="379">
        <v>1</v>
      </c>
      <c r="AN6" s="380">
        <v>1</v>
      </c>
      <c r="AO6" s="379">
        <v>1</v>
      </c>
      <c r="AP6" s="379">
        <v>1</v>
      </c>
      <c r="AQ6" s="381">
        <v>1</v>
      </c>
      <c r="AR6" s="380">
        <v>1</v>
      </c>
      <c r="AS6" s="379">
        <v>1</v>
      </c>
      <c r="AT6" s="379">
        <v>1</v>
      </c>
      <c r="AU6" s="381">
        <v>0</v>
      </c>
      <c r="AV6" s="379">
        <v>2</v>
      </c>
      <c r="AW6" s="379">
        <v>1</v>
      </c>
      <c r="AX6" s="382">
        <v>1</v>
      </c>
    </row>
    <row r="7" spans="1:50" ht="17.399999999999999" customHeight="1">
      <c r="A7" s="403">
        <v>3200</v>
      </c>
      <c r="B7" s="404" t="s">
        <v>21</v>
      </c>
      <c r="C7" s="404">
        <v>5</v>
      </c>
      <c r="D7" s="405">
        <v>1</v>
      </c>
      <c r="E7" s="406" t="s">
        <v>565</v>
      </c>
      <c r="F7" s="407" t="s">
        <v>48</v>
      </c>
      <c r="G7" s="430">
        <v>43410</v>
      </c>
      <c r="H7" s="377">
        <v>43410</v>
      </c>
      <c r="I7" s="383"/>
      <c r="J7" s="378">
        <v>1</v>
      </c>
      <c r="K7" s="378">
        <v>0.1</v>
      </c>
      <c r="L7" s="378">
        <f t="shared" si="0"/>
        <v>18</v>
      </c>
      <c r="M7" s="408">
        <f t="shared" si="1"/>
        <v>0.48648648648648651</v>
      </c>
      <c r="N7" s="378" t="s">
        <v>35</v>
      </c>
      <c r="O7" s="431">
        <v>43410</v>
      </c>
      <c r="P7" s="379"/>
      <c r="Q7" s="380">
        <v>1</v>
      </c>
      <c r="R7" s="379">
        <v>1</v>
      </c>
      <c r="S7" s="379">
        <v>1</v>
      </c>
      <c r="T7" s="379">
        <v>1</v>
      </c>
      <c r="U7" s="379">
        <v>0</v>
      </c>
      <c r="V7" s="381">
        <v>1</v>
      </c>
      <c r="W7" s="379">
        <v>0</v>
      </c>
      <c r="X7" s="379">
        <v>1</v>
      </c>
      <c r="Y7" s="379">
        <v>1</v>
      </c>
      <c r="Z7" s="379">
        <v>1</v>
      </c>
      <c r="AA7" s="379">
        <v>1</v>
      </c>
      <c r="AB7" s="379">
        <v>1</v>
      </c>
      <c r="AC7" s="379">
        <v>0</v>
      </c>
      <c r="AD7" s="379">
        <v>1</v>
      </c>
      <c r="AE7" s="379">
        <v>1</v>
      </c>
      <c r="AF7" s="380">
        <v>1</v>
      </c>
      <c r="AG7" s="379">
        <v>1</v>
      </c>
      <c r="AH7" s="379">
        <v>1</v>
      </c>
      <c r="AI7" s="381">
        <v>1</v>
      </c>
      <c r="AJ7" s="379">
        <v>1</v>
      </c>
      <c r="AK7" s="379">
        <v>1</v>
      </c>
      <c r="AL7" s="379">
        <v>0</v>
      </c>
      <c r="AM7" s="379">
        <v>0</v>
      </c>
      <c r="AN7" s="380">
        <v>0</v>
      </c>
      <c r="AO7" s="379">
        <v>0</v>
      </c>
      <c r="AP7" s="379">
        <v>0</v>
      </c>
      <c r="AQ7" s="381">
        <v>0</v>
      </c>
      <c r="AR7" s="380">
        <v>0</v>
      </c>
      <c r="AS7" s="379">
        <v>0</v>
      </c>
      <c r="AT7" s="379">
        <v>0</v>
      </c>
      <c r="AU7" s="381">
        <v>0</v>
      </c>
      <c r="AV7" s="379">
        <v>0</v>
      </c>
      <c r="AW7" s="379">
        <v>0</v>
      </c>
      <c r="AX7" s="382">
        <v>0</v>
      </c>
    </row>
    <row r="8" spans="1:50" ht="17.399999999999999" customHeight="1">
      <c r="A8" s="457">
        <v>3200</v>
      </c>
      <c r="B8" s="458" t="s">
        <v>21</v>
      </c>
      <c r="C8" s="458">
        <v>5</v>
      </c>
      <c r="D8" s="459">
        <v>1</v>
      </c>
      <c r="E8" s="460" t="s">
        <v>565</v>
      </c>
      <c r="F8" s="461" t="s">
        <v>48</v>
      </c>
      <c r="G8" s="462"/>
      <c r="H8" s="463">
        <v>43424</v>
      </c>
      <c r="I8" s="463"/>
      <c r="J8" s="464">
        <v>2</v>
      </c>
      <c r="K8" s="464">
        <v>1.4</v>
      </c>
      <c r="L8" s="464">
        <f t="shared" si="0"/>
        <v>33</v>
      </c>
      <c r="M8" s="465">
        <f t="shared" si="1"/>
        <v>0.89189189189189189</v>
      </c>
      <c r="N8" s="464">
        <v>5</v>
      </c>
      <c r="O8" s="466">
        <v>43425</v>
      </c>
      <c r="P8" s="467"/>
      <c r="Q8" s="468">
        <v>1</v>
      </c>
      <c r="R8" s="467">
        <v>1</v>
      </c>
      <c r="S8" s="467">
        <v>1</v>
      </c>
      <c r="T8" s="467">
        <v>1</v>
      </c>
      <c r="U8" s="467">
        <v>1</v>
      </c>
      <c r="V8" s="469">
        <v>1</v>
      </c>
      <c r="W8" s="467">
        <v>1</v>
      </c>
      <c r="X8" s="467">
        <v>1</v>
      </c>
      <c r="Y8" s="467">
        <v>1</v>
      </c>
      <c r="Z8" s="467">
        <v>1</v>
      </c>
      <c r="AA8" s="467">
        <v>1</v>
      </c>
      <c r="AB8" s="467">
        <v>1</v>
      </c>
      <c r="AC8" s="467">
        <v>1</v>
      </c>
      <c r="AD8" s="467">
        <v>1</v>
      </c>
      <c r="AE8" s="467">
        <v>1</v>
      </c>
      <c r="AF8" s="468">
        <v>1</v>
      </c>
      <c r="AG8" s="467">
        <v>1</v>
      </c>
      <c r="AH8" s="467">
        <v>1</v>
      </c>
      <c r="AI8" s="469">
        <v>1</v>
      </c>
      <c r="AJ8" s="467">
        <v>1</v>
      </c>
      <c r="AK8" s="467">
        <v>1</v>
      </c>
      <c r="AL8" s="467">
        <v>1</v>
      </c>
      <c r="AM8" s="467">
        <v>1</v>
      </c>
      <c r="AN8" s="468">
        <v>1</v>
      </c>
      <c r="AO8" s="467">
        <v>1</v>
      </c>
      <c r="AP8" s="467">
        <v>1</v>
      </c>
      <c r="AQ8" s="469">
        <v>1</v>
      </c>
      <c r="AR8" s="468">
        <v>1</v>
      </c>
      <c r="AS8" s="467">
        <v>0</v>
      </c>
      <c r="AT8" s="467">
        <v>1</v>
      </c>
      <c r="AU8" s="469">
        <v>0</v>
      </c>
      <c r="AV8" s="467">
        <v>2</v>
      </c>
      <c r="AW8" s="467">
        <v>1</v>
      </c>
      <c r="AX8" s="470">
        <v>1</v>
      </c>
    </row>
    <row r="9" spans="1:50" ht="17.399999999999999" customHeight="1">
      <c r="A9" s="403">
        <v>3201</v>
      </c>
      <c r="B9" s="404" t="s">
        <v>21</v>
      </c>
      <c r="C9" s="404">
        <v>6</v>
      </c>
      <c r="D9" s="405">
        <v>1</v>
      </c>
      <c r="E9" s="406" t="s">
        <v>566</v>
      </c>
      <c r="F9" s="407" t="s">
        <v>681</v>
      </c>
      <c r="G9" s="430">
        <v>43410</v>
      </c>
      <c r="H9" s="377">
        <v>43410</v>
      </c>
      <c r="I9" s="383"/>
      <c r="J9" s="378">
        <v>1</v>
      </c>
      <c r="K9" s="378">
        <v>1.5</v>
      </c>
      <c r="L9" s="378">
        <f t="shared" si="0"/>
        <v>30</v>
      </c>
      <c r="M9" s="408">
        <f t="shared" si="1"/>
        <v>0.81081081081081086</v>
      </c>
      <c r="N9" s="378">
        <v>4</v>
      </c>
      <c r="O9" s="431">
        <v>43410</v>
      </c>
      <c r="P9" s="379"/>
      <c r="Q9" s="380">
        <v>1</v>
      </c>
      <c r="R9" s="379">
        <v>1</v>
      </c>
      <c r="S9" s="379">
        <v>1</v>
      </c>
      <c r="T9" s="379">
        <v>1</v>
      </c>
      <c r="U9" s="379">
        <v>0</v>
      </c>
      <c r="V9" s="381">
        <v>1</v>
      </c>
      <c r="W9" s="379">
        <v>1</v>
      </c>
      <c r="X9" s="379">
        <v>1</v>
      </c>
      <c r="Y9" s="379">
        <v>0</v>
      </c>
      <c r="Z9" s="379">
        <v>1</v>
      </c>
      <c r="AA9" s="379">
        <v>1</v>
      </c>
      <c r="AB9" s="379">
        <v>1</v>
      </c>
      <c r="AC9" s="379">
        <v>1</v>
      </c>
      <c r="AD9" s="379">
        <v>1</v>
      </c>
      <c r="AE9" s="379">
        <v>1</v>
      </c>
      <c r="AF9" s="380">
        <v>0</v>
      </c>
      <c r="AG9" s="379">
        <v>0</v>
      </c>
      <c r="AH9" s="379">
        <v>0</v>
      </c>
      <c r="AI9" s="381">
        <v>1</v>
      </c>
      <c r="AJ9" s="379">
        <v>1</v>
      </c>
      <c r="AK9" s="379">
        <v>1</v>
      </c>
      <c r="AL9" s="379">
        <v>1</v>
      </c>
      <c r="AM9" s="379">
        <v>1</v>
      </c>
      <c r="AN9" s="380">
        <v>1</v>
      </c>
      <c r="AO9" s="379">
        <v>1</v>
      </c>
      <c r="AP9" s="379">
        <v>1</v>
      </c>
      <c r="AQ9" s="381">
        <v>1</v>
      </c>
      <c r="AR9" s="380">
        <v>0</v>
      </c>
      <c r="AS9" s="379">
        <v>1</v>
      </c>
      <c r="AT9" s="379">
        <v>1</v>
      </c>
      <c r="AU9" s="381">
        <v>1</v>
      </c>
      <c r="AV9" s="379">
        <v>2</v>
      </c>
      <c r="AW9" s="379">
        <v>1</v>
      </c>
      <c r="AX9" s="382">
        <v>2</v>
      </c>
    </row>
    <row r="10" spans="1:50" ht="17.399999999999999" customHeight="1">
      <c r="A10" s="403">
        <v>3202</v>
      </c>
      <c r="B10" s="404" t="s">
        <v>21</v>
      </c>
      <c r="C10" s="404">
        <v>7</v>
      </c>
      <c r="D10" s="405">
        <v>1</v>
      </c>
      <c r="E10" s="406" t="s">
        <v>89</v>
      </c>
      <c r="F10" s="407" t="s">
        <v>567</v>
      </c>
      <c r="G10" s="430">
        <v>43403</v>
      </c>
      <c r="H10" s="377">
        <v>43403</v>
      </c>
      <c r="I10" s="383"/>
      <c r="J10" s="378">
        <v>1</v>
      </c>
      <c r="K10" s="378">
        <v>1.5</v>
      </c>
      <c r="L10" s="378">
        <f t="shared" si="0"/>
        <v>19</v>
      </c>
      <c r="M10" s="408">
        <f t="shared" si="1"/>
        <v>0.51351351351351349</v>
      </c>
      <c r="N10" s="378" t="s">
        <v>31</v>
      </c>
      <c r="O10" s="431">
        <v>43410</v>
      </c>
      <c r="P10" s="379"/>
      <c r="Q10" s="380">
        <v>1</v>
      </c>
      <c r="R10" s="379">
        <v>1</v>
      </c>
      <c r="S10" s="379">
        <v>0</v>
      </c>
      <c r="T10" s="379">
        <v>1</v>
      </c>
      <c r="U10" s="379">
        <v>0</v>
      </c>
      <c r="V10" s="381">
        <v>0</v>
      </c>
      <c r="W10" s="379">
        <v>1</v>
      </c>
      <c r="X10" s="379">
        <v>1</v>
      </c>
      <c r="Y10" s="379">
        <v>1</v>
      </c>
      <c r="Z10" s="379">
        <v>0</v>
      </c>
      <c r="AA10" s="379">
        <v>0</v>
      </c>
      <c r="AB10" s="379">
        <v>1</v>
      </c>
      <c r="AC10" s="379">
        <v>0</v>
      </c>
      <c r="AD10" s="379">
        <v>1</v>
      </c>
      <c r="AE10" s="379">
        <v>0</v>
      </c>
      <c r="AF10" s="380">
        <v>0</v>
      </c>
      <c r="AG10" s="379">
        <v>1</v>
      </c>
      <c r="AH10" s="379">
        <v>1</v>
      </c>
      <c r="AI10" s="381">
        <v>0</v>
      </c>
      <c r="AJ10" s="379">
        <v>1</v>
      </c>
      <c r="AK10" s="379">
        <v>0</v>
      </c>
      <c r="AL10" s="379">
        <v>1</v>
      </c>
      <c r="AM10" s="379">
        <v>1</v>
      </c>
      <c r="AN10" s="380">
        <v>1</v>
      </c>
      <c r="AO10" s="379">
        <v>0</v>
      </c>
      <c r="AP10" s="379">
        <v>1</v>
      </c>
      <c r="AQ10" s="381">
        <v>0</v>
      </c>
      <c r="AR10" s="380">
        <v>1</v>
      </c>
      <c r="AS10" s="379">
        <v>1</v>
      </c>
      <c r="AT10" s="379">
        <v>1</v>
      </c>
      <c r="AU10" s="381">
        <v>0</v>
      </c>
      <c r="AV10" s="379">
        <v>0</v>
      </c>
      <c r="AW10" s="379">
        <v>0</v>
      </c>
      <c r="AX10" s="382">
        <v>1</v>
      </c>
    </row>
    <row r="11" spans="1:50" ht="17.399999999999999" customHeight="1">
      <c r="A11" s="403">
        <v>3203</v>
      </c>
      <c r="B11" s="404" t="s">
        <v>21</v>
      </c>
      <c r="C11" s="404">
        <v>8</v>
      </c>
      <c r="D11" s="405">
        <v>3</v>
      </c>
      <c r="E11" s="406" t="s">
        <v>568</v>
      </c>
      <c r="F11" s="407" t="s">
        <v>67</v>
      </c>
      <c r="G11" s="430">
        <v>43402</v>
      </c>
      <c r="H11" s="377">
        <v>43402</v>
      </c>
      <c r="I11" s="383"/>
      <c r="J11" s="378">
        <v>1</v>
      </c>
      <c r="K11" s="378">
        <v>1.5</v>
      </c>
      <c r="L11" s="378">
        <f t="shared" si="0"/>
        <v>22</v>
      </c>
      <c r="M11" s="408">
        <f t="shared" si="1"/>
        <v>0.59459459459459463</v>
      </c>
      <c r="N11" s="378">
        <v>3</v>
      </c>
      <c r="O11" s="431">
        <v>43409</v>
      </c>
      <c r="P11" s="379"/>
      <c r="Q11" s="380">
        <v>1</v>
      </c>
      <c r="R11" s="379">
        <v>1</v>
      </c>
      <c r="S11" s="379">
        <v>1</v>
      </c>
      <c r="T11" s="379">
        <v>1</v>
      </c>
      <c r="U11" s="379">
        <v>0</v>
      </c>
      <c r="V11" s="381">
        <v>0</v>
      </c>
      <c r="W11" s="379">
        <v>1</v>
      </c>
      <c r="X11" s="379">
        <v>1</v>
      </c>
      <c r="Y11" s="379">
        <v>1</v>
      </c>
      <c r="Z11" s="379">
        <v>0</v>
      </c>
      <c r="AA11" s="379">
        <v>0</v>
      </c>
      <c r="AB11" s="379">
        <v>1</v>
      </c>
      <c r="AC11" s="379">
        <v>0</v>
      </c>
      <c r="AD11" s="379">
        <v>1</v>
      </c>
      <c r="AE11" s="379">
        <v>1</v>
      </c>
      <c r="AF11" s="380">
        <v>1</v>
      </c>
      <c r="AG11" s="379">
        <v>1</v>
      </c>
      <c r="AH11" s="379">
        <v>1</v>
      </c>
      <c r="AI11" s="381">
        <v>0</v>
      </c>
      <c r="AJ11" s="379">
        <v>1</v>
      </c>
      <c r="AK11" s="379">
        <v>1</v>
      </c>
      <c r="AL11" s="379">
        <v>1</v>
      </c>
      <c r="AM11" s="379">
        <v>1</v>
      </c>
      <c r="AN11" s="380">
        <v>0</v>
      </c>
      <c r="AO11" s="379">
        <v>1</v>
      </c>
      <c r="AP11" s="379">
        <v>1</v>
      </c>
      <c r="AQ11" s="381">
        <v>1</v>
      </c>
      <c r="AR11" s="380">
        <v>1</v>
      </c>
      <c r="AS11" s="379">
        <v>0</v>
      </c>
      <c r="AT11" s="379">
        <v>1</v>
      </c>
      <c r="AU11" s="381">
        <v>0</v>
      </c>
      <c r="AV11" s="379">
        <v>0</v>
      </c>
      <c r="AW11" s="379">
        <v>0</v>
      </c>
      <c r="AX11" s="382">
        <v>0</v>
      </c>
    </row>
    <row r="12" spans="1:50" ht="17.399999999999999" customHeight="1">
      <c r="A12" s="403">
        <v>3204</v>
      </c>
      <c r="B12" s="409" t="s">
        <v>21</v>
      </c>
      <c r="C12" s="409">
        <v>9</v>
      </c>
      <c r="D12" s="405">
        <v>3</v>
      </c>
      <c r="E12" s="410" t="s">
        <v>569</v>
      </c>
      <c r="F12" s="411" t="s">
        <v>189</v>
      </c>
      <c r="G12" s="430">
        <v>43409</v>
      </c>
      <c r="H12" s="377">
        <v>43409</v>
      </c>
      <c r="I12" s="383"/>
      <c r="J12" s="378">
        <v>1</v>
      </c>
      <c r="K12" s="378">
        <v>1.5</v>
      </c>
      <c r="L12" s="378">
        <f t="shared" si="0"/>
        <v>36</v>
      </c>
      <c r="M12" s="408">
        <f t="shared" si="1"/>
        <v>0.97297297297297303</v>
      </c>
      <c r="N12" s="378" t="s">
        <v>36</v>
      </c>
      <c r="O12" s="431">
        <v>43409</v>
      </c>
      <c r="P12" s="379"/>
      <c r="Q12" s="380">
        <v>1</v>
      </c>
      <c r="R12" s="379">
        <v>1</v>
      </c>
      <c r="S12" s="379">
        <v>1</v>
      </c>
      <c r="T12" s="379">
        <v>1</v>
      </c>
      <c r="U12" s="379">
        <v>1</v>
      </c>
      <c r="V12" s="381">
        <v>1</v>
      </c>
      <c r="W12" s="379">
        <v>1</v>
      </c>
      <c r="X12" s="379">
        <v>1</v>
      </c>
      <c r="Y12" s="379">
        <v>1</v>
      </c>
      <c r="Z12" s="379">
        <v>1</v>
      </c>
      <c r="AA12" s="379">
        <v>1</v>
      </c>
      <c r="AB12" s="379">
        <v>1</v>
      </c>
      <c r="AC12" s="379">
        <v>1</v>
      </c>
      <c r="AD12" s="379">
        <v>1</v>
      </c>
      <c r="AE12" s="379">
        <v>1</v>
      </c>
      <c r="AF12" s="380">
        <v>1</v>
      </c>
      <c r="AG12" s="379">
        <v>1</v>
      </c>
      <c r="AH12" s="379">
        <v>1</v>
      </c>
      <c r="AI12" s="381">
        <v>1</v>
      </c>
      <c r="AJ12" s="379">
        <v>1</v>
      </c>
      <c r="AK12" s="379">
        <v>1</v>
      </c>
      <c r="AL12" s="379">
        <v>1</v>
      </c>
      <c r="AM12" s="379">
        <v>1</v>
      </c>
      <c r="AN12" s="380">
        <v>1</v>
      </c>
      <c r="AO12" s="379">
        <v>1</v>
      </c>
      <c r="AP12" s="379">
        <v>1</v>
      </c>
      <c r="AQ12" s="381">
        <v>1</v>
      </c>
      <c r="AR12" s="380">
        <v>1</v>
      </c>
      <c r="AS12" s="379">
        <v>0</v>
      </c>
      <c r="AT12" s="379">
        <v>1</v>
      </c>
      <c r="AU12" s="381">
        <v>1</v>
      </c>
      <c r="AV12" s="379">
        <v>2</v>
      </c>
      <c r="AW12" s="379">
        <v>1</v>
      </c>
      <c r="AX12" s="382">
        <v>3</v>
      </c>
    </row>
    <row r="13" spans="1:50" ht="17.399999999999999" customHeight="1">
      <c r="A13" s="403">
        <v>3322</v>
      </c>
      <c r="B13" s="409" t="s">
        <v>21</v>
      </c>
      <c r="C13" s="409">
        <v>10</v>
      </c>
      <c r="D13" s="405">
        <v>2</v>
      </c>
      <c r="E13" s="410" t="s">
        <v>570</v>
      </c>
      <c r="F13" s="411" t="s">
        <v>571</v>
      </c>
      <c r="G13" s="430">
        <v>43420</v>
      </c>
      <c r="H13" s="377">
        <v>43420</v>
      </c>
      <c r="I13" s="383"/>
      <c r="J13" s="378">
        <v>1</v>
      </c>
      <c r="K13" s="378">
        <v>1.5</v>
      </c>
      <c r="L13" s="378">
        <f t="shared" si="0"/>
        <v>12</v>
      </c>
      <c r="M13" s="408">
        <f t="shared" si="1"/>
        <v>0.32432432432432434</v>
      </c>
      <c r="N13" s="378">
        <v>2</v>
      </c>
      <c r="O13" s="431">
        <v>43420</v>
      </c>
      <c r="P13" s="379">
        <v>-1</v>
      </c>
      <c r="Q13" s="380">
        <v>1</v>
      </c>
      <c r="R13" s="379">
        <v>1</v>
      </c>
      <c r="S13" s="379">
        <v>1</v>
      </c>
      <c r="T13" s="379">
        <v>1</v>
      </c>
      <c r="U13" s="379">
        <v>0</v>
      </c>
      <c r="V13" s="381">
        <v>0</v>
      </c>
      <c r="W13" s="379">
        <v>1</v>
      </c>
      <c r="X13" s="379">
        <v>1</v>
      </c>
      <c r="Y13" s="379">
        <v>0</v>
      </c>
      <c r="Z13" s="379">
        <v>0</v>
      </c>
      <c r="AA13" s="379">
        <v>0</v>
      </c>
      <c r="AB13" s="379">
        <v>1</v>
      </c>
      <c r="AC13" s="443">
        <v>0</v>
      </c>
      <c r="AD13" s="379">
        <v>1</v>
      </c>
      <c r="AE13" s="379">
        <v>1</v>
      </c>
      <c r="AF13" s="380">
        <v>0</v>
      </c>
      <c r="AG13" s="379">
        <v>0</v>
      </c>
      <c r="AH13" s="379">
        <v>0</v>
      </c>
      <c r="AI13" s="381">
        <v>0</v>
      </c>
      <c r="AJ13" s="379">
        <v>1</v>
      </c>
      <c r="AK13" s="379">
        <v>1</v>
      </c>
      <c r="AL13" s="379">
        <v>1</v>
      </c>
      <c r="AM13" s="379">
        <v>1</v>
      </c>
      <c r="AN13" s="380">
        <v>0</v>
      </c>
      <c r="AO13" s="379">
        <v>0</v>
      </c>
      <c r="AP13" s="379">
        <v>0</v>
      </c>
      <c r="AQ13" s="381">
        <v>0</v>
      </c>
      <c r="AR13" s="380">
        <v>0</v>
      </c>
      <c r="AS13" s="379">
        <v>0</v>
      </c>
      <c r="AT13" s="379">
        <v>0</v>
      </c>
      <c r="AU13" s="381">
        <v>0</v>
      </c>
      <c r="AV13" s="379">
        <v>0</v>
      </c>
      <c r="AW13" s="379">
        <v>0</v>
      </c>
      <c r="AX13" s="382">
        <v>0</v>
      </c>
    </row>
    <row r="14" spans="1:50" ht="17.399999999999999" customHeight="1">
      <c r="A14" s="403">
        <v>3206</v>
      </c>
      <c r="B14" s="409" t="s">
        <v>21</v>
      </c>
      <c r="C14" s="409">
        <v>11</v>
      </c>
      <c r="D14" s="405">
        <v>2</v>
      </c>
      <c r="E14" s="410" t="s">
        <v>45</v>
      </c>
      <c r="F14" s="411" t="s">
        <v>48</v>
      </c>
      <c r="G14" s="430">
        <v>43420</v>
      </c>
      <c r="H14" s="377">
        <v>43420</v>
      </c>
      <c r="I14" s="383"/>
      <c r="J14" s="378">
        <v>1</v>
      </c>
      <c r="K14" s="378">
        <v>1.5</v>
      </c>
      <c r="L14" s="378">
        <f t="shared" si="0"/>
        <v>28</v>
      </c>
      <c r="M14" s="408">
        <f t="shared" si="1"/>
        <v>0.7567567567567568</v>
      </c>
      <c r="N14" s="378">
        <v>4</v>
      </c>
      <c r="O14" s="431">
        <v>43420</v>
      </c>
      <c r="P14" s="379"/>
      <c r="Q14" s="380">
        <v>1</v>
      </c>
      <c r="R14" s="379">
        <v>1</v>
      </c>
      <c r="S14" s="379">
        <v>1</v>
      </c>
      <c r="T14" s="379">
        <v>1</v>
      </c>
      <c r="U14" s="379">
        <v>1</v>
      </c>
      <c r="V14" s="381">
        <v>0</v>
      </c>
      <c r="W14" s="379">
        <v>1</v>
      </c>
      <c r="X14" s="379">
        <v>0</v>
      </c>
      <c r="Y14" s="379">
        <v>1</v>
      </c>
      <c r="Z14" s="379">
        <v>0</v>
      </c>
      <c r="AA14" s="379">
        <v>1</v>
      </c>
      <c r="AB14" s="379">
        <v>1</v>
      </c>
      <c r="AC14" s="379">
        <v>0</v>
      </c>
      <c r="AD14" s="379">
        <v>1</v>
      </c>
      <c r="AE14" s="379">
        <v>0</v>
      </c>
      <c r="AF14" s="380">
        <v>1</v>
      </c>
      <c r="AG14" s="379">
        <v>1</v>
      </c>
      <c r="AH14" s="379">
        <v>1</v>
      </c>
      <c r="AI14" s="381">
        <v>1</v>
      </c>
      <c r="AJ14" s="379">
        <v>1</v>
      </c>
      <c r="AK14" s="379">
        <v>1</v>
      </c>
      <c r="AL14" s="379">
        <v>1</v>
      </c>
      <c r="AM14" s="379">
        <v>1</v>
      </c>
      <c r="AN14" s="380">
        <v>1</v>
      </c>
      <c r="AO14" s="379">
        <v>1</v>
      </c>
      <c r="AP14" s="379">
        <v>1</v>
      </c>
      <c r="AQ14" s="381">
        <v>1</v>
      </c>
      <c r="AR14" s="380">
        <v>1</v>
      </c>
      <c r="AS14" s="379">
        <v>1</v>
      </c>
      <c r="AT14" s="379">
        <v>1</v>
      </c>
      <c r="AU14" s="381">
        <v>0</v>
      </c>
      <c r="AV14" s="379">
        <v>2</v>
      </c>
      <c r="AW14" s="379">
        <v>0</v>
      </c>
      <c r="AX14" s="382">
        <v>1</v>
      </c>
    </row>
    <row r="15" spans="1:50" ht="17.399999999999999" customHeight="1">
      <c r="A15" s="403">
        <v>3205</v>
      </c>
      <c r="B15" s="409" t="s">
        <v>21</v>
      </c>
      <c r="C15" s="409">
        <v>12</v>
      </c>
      <c r="D15" s="405">
        <v>2</v>
      </c>
      <c r="E15" s="410" t="s">
        <v>572</v>
      </c>
      <c r="F15" s="411" t="s">
        <v>684</v>
      </c>
      <c r="G15" s="430">
        <v>43420</v>
      </c>
      <c r="H15" s="377">
        <v>43420</v>
      </c>
      <c r="I15" s="383"/>
      <c r="J15" s="378">
        <v>1</v>
      </c>
      <c r="K15" s="378">
        <v>1.5</v>
      </c>
      <c r="L15" s="378">
        <f t="shared" si="0"/>
        <v>23</v>
      </c>
      <c r="M15" s="408">
        <f t="shared" si="1"/>
        <v>0.6216216216216216</v>
      </c>
      <c r="N15" s="378">
        <v>3</v>
      </c>
      <c r="O15" s="431">
        <v>43420</v>
      </c>
      <c r="P15" s="379"/>
      <c r="Q15" s="380">
        <v>1</v>
      </c>
      <c r="R15" s="379">
        <v>1</v>
      </c>
      <c r="S15" s="379">
        <v>1</v>
      </c>
      <c r="T15" s="379">
        <v>1</v>
      </c>
      <c r="U15" s="379">
        <v>1</v>
      </c>
      <c r="V15" s="381">
        <v>0</v>
      </c>
      <c r="W15" s="379">
        <v>1</v>
      </c>
      <c r="X15" s="379">
        <v>1</v>
      </c>
      <c r="Y15" s="379">
        <v>0</v>
      </c>
      <c r="Z15" s="379">
        <v>1</v>
      </c>
      <c r="AA15" s="379">
        <v>1</v>
      </c>
      <c r="AB15" s="379">
        <v>1</v>
      </c>
      <c r="AC15" s="379">
        <v>0</v>
      </c>
      <c r="AD15" s="379">
        <v>1</v>
      </c>
      <c r="AE15" s="379">
        <v>1</v>
      </c>
      <c r="AF15" s="380">
        <v>1</v>
      </c>
      <c r="AG15" s="379">
        <v>1</v>
      </c>
      <c r="AH15" s="379">
        <v>0</v>
      </c>
      <c r="AI15" s="381">
        <v>0</v>
      </c>
      <c r="AJ15" s="379">
        <v>1</v>
      </c>
      <c r="AK15" s="379">
        <v>1</v>
      </c>
      <c r="AL15" s="379">
        <v>1</v>
      </c>
      <c r="AM15" s="379">
        <v>1</v>
      </c>
      <c r="AN15" s="380">
        <v>1</v>
      </c>
      <c r="AO15" s="379">
        <v>1</v>
      </c>
      <c r="AP15" s="379">
        <v>1</v>
      </c>
      <c r="AQ15" s="381">
        <v>0</v>
      </c>
      <c r="AR15" s="380">
        <v>0</v>
      </c>
      <c r="AS15" s="379">
        <v>0</v>
      </c>
      <c r="AT15" s="379">
        <v>0</v>
      </c>
      <c r="AU15" s="381">
        <v>0</v>
      </c>
      <c r="AV15" s="379">
        <v>2</v>
      </c>
      <c r="AW15" s="379">
        <v>0</v>
      </c>
      <c r="AX15" s="382">
        <v>0</v>
      </c>
    </row>
    <row r="16" spans="1:50" ht="17.399999999999999" customHeight="1">
      <c r="A16" s="403">
        <v>3207</v>
      </c>
      <c r="B16" s="404" t="s">
        <v>21</v>
      </c>
      <c r="C16" s="404">
        <v>13</v>
      </c>
      <c r="D16" s="405">
        <v>1</v>
      </c>
      <c r="E16" s="406" t="s">
        <v>573</v>
      </c>
      <c r="F16" s="407" t="s">
        <v>10</v>
      </c>
      <c r="G16" s="430">
        <v>43403</v>
      </c>
      <c r="H16" s="377">
        <v>43403</v>
      </c>
      <c r="I16" s="383"/>
      <c r="J16" s="378">
        <v>1</v>
      </c>
      <c r="K16" s="378">
        <v>1.5</v>
      </c>
      <c r="L16" s="378">
        <f t="shared" si="0"/>
        <v>35</v>
      </c>
      <c r="M16" s="408">
        <f t="shared" si="1"/>
        <v>0.94594594594594594</v>
      </c>
      <c r="N16" s="378">
        <v>5</v>
      </c>
      <c r="O16" s="431">
        <v>43410</v>
      </c>
      <c r="P16" s="379"/>
      <c r="Q16" s="380">
        <v>1</v>
      </c>
      <c r="R16" s="379">
        <v>1</v>
      </c>
      <c r="S16" s="379">
        <v>1</v>
      </c>
      <c r="T16" s="379">
        <v>1</v>
      </c>
      <c r="U16" s="379">
        <v>1</v>
      </c>
      <c r="V16" s="381">
        <v>0</v>
      </c>
      <c r="W16" s="379">
        <v>1</v>
      </c>
      <c r="X16" s="379">
        <v>1</v>
      </c>
      <c r="Y16" s="379">
        <v>1</v>
      </c>
      <c r="Z16" s="379">
        <v>1</v>
      </c>
      <c r="AA16" s="379">
        <v>1</v>
      </c>
      <c r="AB16" s="379">
        <v>1</v>
      </c>
      <c r="AC16" s="379">
        <v>0</v>
      </c>
      <c r="AD16" s="379">
        <v>1</v>
      </c>
      <c r="AE16" s="379">
        <v>1</v>
      </c>
      <c r="AF16" s="380">
        <v>1</v>
      </c>
      <c r="AG16" s="379">
        <v>1</v>
      </c>
      <c r="AH16" s="379">
        <v>1</v>
      </c>
      <c r="AI16" s="381">
        <v>1</v>
      </c>
      <c r="AJ16" s="379">
        <v>1</v>
      </c>
      <c r="AK16" s="379">
        <v>1</v>
      </c>
      <c r="AL16" s="379">
        <v>1</v>
      </c>
      <c r="AM16" s="379">
        <v>1</v>
      </c>
      <c r="AN16" s="380">
        <v>1</v>
      </c>
      <c r="AO16" s="379">
        <v>1</v>
      </c>
      <c r="AP16" s="379">
        <v>1</v>
      </c>
      <c r="AQ16" s="381">
        <v>1</v>
      </c>
      <c r="AR16" s="380">
        <v>1</v>
      </c>
      <c r="AS16" s="379">
        <v>1</v>
      </c>
      <c r="AT16" s="379">
        <v>1</v>
      </c>
      <c r="AU16" s="381">
        <v>1</v>
      </c>
      <c r="AV16" s="379">
        <v>2</v>
      </c>
      <c r="AW16" s="379">
        <v>1</v>
      </c>
      <c r="AX16" s="382">
        <v>3</v>
      </c>
    </row>
    <row r="17" spans="1:50" ht="17.399999999999999" customHeight="1">
      <c r="A17" s="403">
        <v>3208</v>
      </c>
      <c r="B17" s="409" t="s">
        <v>21</v>
      </c>
      <c r="C17" s="409">
        <v>14</v>
      </c>
      <c r="D17" s="405">
        <v>3</v>
      </c>
      <c r="E17" s="410" t="s">
        <v>574</v>
      </c>
      <c r="F17" s="411" t="s">
        <v>679</v>
      </c>
      <c r="G17" s="430">
        <v>43402</v>
      </c>
      <c r="H17" s="377">
        <v>43402</v>
      </c>
      <c r="I17" s="383"/>
      <c r="J17" s="378">
        <v>1</v>
      </c>
      <c r="K17" s="378">
        <v>1.5</v>
      </c>
      <c r="L17" s="378">
        <f t="shared" si="0"/>
        <v>15</v>
      </c>
      <c r="M17" s="408">
        <f t="shared" si="1"/>
        <v>0.40540540540540543</v>
      </c>
      <c r="N17" s="378">
        <v>2</v>
      </c>
      <c r="O17" s="431">
        <v>43409</v>
      </c>
      <c r="P17" s="379"/>
      <c r="Q17" s="380">
        <v>1</v>
      </c>
      <c r="R17" s="379">
        <v>1</v>
      </c>
      <c r="S17" s="379">
        <v>1</v>
      </c>
      <c r="T17" s="379">
        <v>1</v>
      </c>
      <c r="U17" s="379">
        <v>1</v>
      </c>
      <c r="V17" s="381">
        <v>1</v>
      </c>
      <c r="W17" s="379">
        <v>1</v>
      </c>
      <c r="X17" s="379">
        <v>1</v>
      </c>
      <c r="Y17" s="379">
        <v>1</v>
      </c>
      <c r="Z17" s="379">
        <v>1</v>
      </c>
      <c r="AA17" s="379">
        <v>1</v>
      </c>
      <c r="AB17" s="379">
        <v>1</v>
      </c>
      <c r="AC17" s="379">
        <v>1</v>
      </c>
      <c r="AD17" s="379">
        <v>1</v>
      </c>
      <c r="AE17" s="379">
        <v>0</v>
      </c>
      <c r="AF17" s="380">
        <v>0</v>
      </c>
      <c r="AG17" s="379">
        <v>0</v>
      </c>
      <c r="AH17" s="379">
        <v>0</v>
      </c>
      <c r="AI17" s="381">
        <v>0</v>
      </c>
      <c r="AJ17" s="379">
        <v>0</v>
      </c>
      <c r="AK17" s="379">
        <v>1</v>
      </c>
      <c r="AL17" s="379">
        <v>0</v>
      </c>
      <c r="AM17" s="379">
        <v>0</v>
      </c>
      <c r="AN17" s="380">
        <v>0</v>
      </c>
      <c r="AO17" s="379">
        <v>0</v>
      </c>
      <c r="AP17" s="379">
        <v>0</v>
      </c>
      <c r="AQ17" s="381">
        <v>0</v>
      </c>
      <c r="AR17" s="380">
        <v>0</v>
      </c>
      <c r="AS17" s="379">
        <v>0</v>
      </c>
      <c r="AT17" s="379">
        <v>0</v>
      </c>
      <c r="AU17" s="381">
        <v>0</v>
      </c>
      <c r="AV17" s="379">
        <v>0</v>
      </c>
      <c r="AW17" s="379">
        <v>0</v>
      </c>
      <c r="AX17" s="382">
        <v>0</v>
      </c>
    </row>
    <row r="18" spans="1:50" ht="17.399999999999999" customHeight="1">
      <c r="A18" s="403">
        <v>3351</v>
      </c>
      <c r="B18" s="409" t="s">
        <v>21</v>
      </c>
      <c r="C18" s="409">
        <v>15</v>
      </c>
      <c r="D18" s="405">
        <v>2</v>
      </c>
      <c r="E18" s="412" t="s">
        <v>92</v>
      </c>
      <c r="F18" s="413" t="s">
        <v>82</v>
      </c>
      <c r="G18" s="430">
        <v>43420</v>
      </c>
      <c r="H18" s="377">
        <v>43420</v>
      </c>
      <c r="I18" s="383"/>
      <c r="J18" s="378">
        <v>1</v>
      </c>
      <c r="K18" s="378">
        <v>0.25</v>
      </c>
      <c r="L18" s="378">
        <f t="shared" si="0"/>
        <v>1</v>
      </c>
      <c r="M18" s="408">
        <f t="shared" si="1"/>
        <v>2.7027027027027029E-2</v>
      </c>
      <c r="N18" s="378">
        <v>1</v>
      </c>
      <c r="O18" s="431">
        <v>43420</v>
      </c>
      <c r="P18" s="379">
        <v>-10</v>
      </c>
      <c r="Q18" s="380">
        <v>1</v>
      </c>
      <c r="R18" s="379">
        <v>1</v>
      </c>
      <c r="S18" s="379">
        <v>1</v>
      </c>
      <c r="T18" s="379">
        <v>1</v>
      </c>
      <c r="U18" s="379">
        <v>0</v>
      </c>
      <c r="V18" s="381">
        <v>0</v>
      </c>
      <c r="W18" s="379">
        <v>1</v>
      </c>
      <c r="X18" s="379">
        <v>1</v>
      </c>
      <c r="Y18" s="379">
        <v>0</v>
      </c>
      <c r="Z18" s="379">
        <v>1</v>
      </c>
      <c r="AA18" s="379">
        <v>1</v>
      </c>
      <c r="AB18" s="379">
        <v>1</v>
      </c>
      <c r="AC18" s="443">
        <v>0</v>
      </c>
      <c r="AD18" s="379">
        <v>0</v>
      </c>
      <c r="AE18" s="379">
        <v>0</v>
      </c>
      <c r="AF18" s="380">
        <v>0</v>
      </c>
      <c r="AG18" s="379">
        <v>0</v>
      </c>
      <c r="AH18" s="379">
        <v>0</v>
      </c>
      <c r="AI18" s="381">
        <v>0</v>
      </c>
      <c r="AJ18" s="379">
        <v>0</v>
      </c>
      <c r="AK18" s="379">
        <v>1</v>
      </c>
      <c r="AL18" s="379">
        <v>0</v>
      </c>
      <c r="AM18" s="379">
        <v>0</v>
      </c>
      <c r="AN18" s="380">
        <v>0</v>
      </c>
      <c r="AO18" s="379">
        <v>0</v>
      </c>
      <c r="AP18" s="379">
        <v>1</v>
      </c>
      <c r="AQ18" s="381">
        <v>0</v>
      </c>
      <c r="AR18" s="380">
        <v>0</v>
      </c>
      <c r="AS18" s="379">
        <v>0</v>
      </c>
      <c r="AT18" s="379">
        <v>0</v>
      </c>
      <c r="AU18" s="381">
        <v>0</v>
      </c>
      <c r="AV18" s="379">
        <v>0</v>
      </c>
      <c r="AW18" s="379">
        <v>0</v>
      </c>
      <c r="AX18" s="382">
        <v>0</v>
      </c>
    </row>
    <row r="19" spans="1:50" ht="17.399999999999999" customHeight="1">
      <c r="A19" s="457">
        <v>3351</v>
      </c>
      <c r="B19" s="471" t="s">
        <v>21</v>
      </c>
      <c r="C19" s="471">
        <v>15</v>
      </c>
      <c r="D19" s="459">
        <v>2</v>
      </c>
      <c r="E19" s="472" t="s">
        <v>92</v>
      </c>
      <c r="F19" s="473" t="s">
        <v>82</v>
      </c>
      <c r="G19" s="462"/>
      <c r="H19" s="463">
        <v>43448</v>
      </c>
      <c r="I19" s="463"/>
      <c r="J19" s="464">
        <v>2</v>
      </c>
      <c r="K19" s="464">
        <v>1.25</v>
      </c>
      <c r="L19" s="464">
        <f t="shared" ref="L19" si="2">SUM(P19:AX19)</f>
        <v>26</v>
      </c>
      <c r="M19" s="465">
        <f t="shared" ref="M19" si="3">L19/$L$2</f>
        <v>0.70270270270270274</v>
      </c>
      <c r="N19" s="464" t="s">
        <v>32</v>
      </c>
      <c r="O19" s="466">
        <v>43453</v>
      </c>
      <c r="P19" s="467">
        <v>-1</v>
      </c>
      <c r="Q19" s="468">
        <v>1</v>
      </c>
      <c r="R19" s="467">
        <v>0</v>
      </c>
      <c r="S19" s="467">
        <v>1</v>
      </c>
      <c r="T19" s="467">
        <v>1</v>
      </c>
      <c r="U19" s="467">
        <v>1</v>
      </c>
      <c r="V19" s="469">
        <v>1</v>
      </c>
      <c r="W19" s="467">
        <v>0</v>
      </c>
      <c r="X19" s="467">
        <v>1</v>
      </c>
      <c r="Y19" s="467">
        <v>1</v>
      </c>
      <c r="Z19" s="467">
        <v>0</v>
      </c>
      <c r="AA19" s="467">
        <v>1</v>
      </c>
      <c r="AB19" s="467">
        <v>0</v>
      </c>
      <c r="AC19" s="467">
        <v>0</v>
      </c>
      <c r="AD19" s="467">
        <v>1</v>
      </c>
      <c r="AE19" s="467">
        <v>1</v>
      </c>
      <c r="AF19" s="468">
        <v>0</v>
      </c>
      <c r="AG19" s="467">
        <v>0</v>
      </c>
      <c r="AH19" s="467">
        <v>0</v>
      </c>
      <c r="AI19" s="469">
        <v>1</v>
      </c>
      <c r="AJ19" s="467">
        <v>1</v>
      </c>
      <c r="AK19" s="474">
        <v>1</v>
      </c>
      <c r="AL19" s="467">
        <v>1</v>
      </c>
      <c r="AM19" s="467">
        <v>1</v>
      </c>
      <c r="AN19" s="468">
        <v>1</v>
      </c>
      <c r="AO19" s="467">
        <v>1</v>
      </c>
      <c r="AP19" s="467">
        <v>1</v>
      </c>
      <c r="AQ19" s="469">
        <v>1</v>
      </c>
      <c r="AR19" s="468">
        <v>1</v>
      </c>
      <c r="AS19" s="467">
        <v>1</v>
      </c>
      <c r="AT19" s="467">
        <v>1</v>
      </c>
      <c r="AU19" s="469">
        <v>1</v>
      </c>
      <c r="AV19" s="467">
        <v>2</v>
      </c>
      <c r="AW19" s="467">
        <v>0</v>
      </c>
      <c r="AX19" s="470">
        <v>2</v>
      </c>
    </row>
    <row r="20" spans="1:50" ht="17.399999999999999" customHeight="1">
      <c r="A20" s="403">
        <v>3209</v>
      </c>
      <c r="B20" s="409" t="s">
        <v>21</v>
      </c>
      <c r="C20" s="409">
        <v>16</v>
      </c>
      <c r="D20" s="405">
        <v>2</v>
      </c>
      <c r="E20" s="410" t="s">
        <v>575</v>
      </c>
      <c r="F20" s="411" t="s">
        <v>0</v>
      </c>
      <c r="G20" s="430">
        <v>43420</v>
      </c>
      <c r="H20" s="377">
        <v>43420</v>
      </c>
      <c r="I20" s="383"/>
      <c r="J20" s="378">
        <v>1</v>
      </c>
      <c r="K20" s="378">
        <v>0.25</v>
      </c>
      <c r="L20" s="378">
        <f t="shared" si="0"/>
        <v>28</v>
      </c>
      <c r="M20" s="408">
        <f t="shared" si="1"/>
        <v>0.7567567567567568</v>
      </c>
      <c r="N20" s="378">
        <v>4</v>
      </c>
      <c r="O20" s="431">
        <v>43420</v>
      </c>
      <c r="P20" s="379"/>
      <c r="Q20" s="380">
        <v>1</v>
      </c>
      <c r="R20" s="379">
        <v>1</v>
      </c>
      <c r="S20" s="379">
        <v>1</v>
      </c>
      <c r="T20" s="379">
        <v>1</v>
      </c>
      <c r="U20" s="379">
        <v>1</v>
      </c>
      <c r="V20" s="381">
        <v>0</v>
      </c>
      <c r="W20" s="379">
        <v>1</v>
      </c>
      <c r="X20" s="379">
        <v>1</v>
      </c>
      <c r="Y20" s="379">
        <v>1</v>
      </c>
      <c r="Z20" s="379">
        <v>1</v>
      </c>
      <c r="AA20" s="379">
        <v>1</v>
      </c>
      <c r="AB20" s="379">
        <v>1</v>
      </c>
      <c r="AC20" s="379">
        <v>1</v>
      </c>
      <c r="AD20" s="379">
        <v>1</v>
      </c>
      <c r="AE20" s="379">
        <v>1</v>
      </c>
      <c r="AF20" s="380">
        <v>1</v>
      </c>
      <c r="AG20" s="379">
        <v>1</v>
      </c>
      <c r="AH20" s="379">
        <v>1</v>
      </c>
      <c r="AI20" s="381">
        <v>1</v>
      </c>
      <c r="AJ20" s="379">
        <v>1</v>
      </c>
      <c r="AK20" s="379">
        <v>1</v>
      </c>
      <c r="AL20" s="379">
        <v>1</v>
      </c>
      <c r="AM20" s="379">
        <v>1</v>
      </c>
      <c r="AN20" s="380">
        <v>1</v>
      </c>
      <c r="AO20" s="379">
        <v>1</v>
      </c>
      <c r="AP20" s="379">
        <v>1</v>
      </c>
      <c r="AQ20" s="381">
        <v>1</v>
      </c>
      <c r="AR20" s="380">
        <v>1</v>
      </c>
      <c r="AS20" s="379">
        <v>1</v>
      </c>
      <c r="AT20" s="379">
        <v>0</v>
      </c>
      <c r="AU20" s="381">
        <v>0</v>
      </c>
      <c r="AV20" s="379">
        <v>0</v>
      </c>
      <c r="AW20" s="379">
        <v>0</v>
      </c>
      <c r="AX20" s="382">
        <v>0</v>
      </c>
    </row>
    <row r="21" spans="1:50" ht="17.399999999999999" customHeight="1">
      <c r="A21" s="457">
        <v>3209</v>
      </c>
      <c r="B21" s="471" t="s">
        <v>21</v>
      </c>
      <c r="C21" s="471">
        <v>16</v>
      </c>
      <c r="D21" s="459">
        <v>2</v>
      </c>
      <c r="E21" s="472" t="s">
        <v>575</v>
      </c>
      <c r="F21" s="473" t="s">
        <v>0</v>
      </c>
      <c r="G21" s="462"/>
      <c r="H21" s="463">
        <v>43448</v>
      </c>
      <c r="I21" s="463"/>
      <c r="J21" s="464">
        <v>2</v>
      </c>
      <c r="K21" s="464">
        <v>1.25</v>
      </c>
      <c r="L21" s="464">
        <f t="shared" si="0"/>
        <v>36</v>
      </c>
      <c r="M21" s="465">
        <f t="shared" si="1"/>
        <v>0.97297297297297303</v>
      </c>
      <c r="N21" s="464" t="s">
        <v>36</v>
      </c>
      <c r="O21" s="466">
        <v>43453</v>
      </c>
      <c r="P21" s="467"/>
      <c r="Q21" s="468">
        <v>1</v>
      </c>
      <c r="R21" s="467">
        <v>1</v>
      </c>
      <c r="S21" s="467">
        <v>1</v>
      </c>
      <c r="T21" s="467">
        <v>1</v>
      </c>
      <c r="U21" s="467">
        <v>1</v>
      </c>
      <c r="V21" s="469">
        <v>1</v>
      </c>
      <c r="W21" s="467">
        <v>1</v>
      </c>
      <c r="X21" s="467">
        <v>1</v>
      </c>
      <c r="Y21" s="467">
        <v>1</v>
      </c>
      <c r="Z21" s="467">
        <v>1</v>
      </c>
      <c r="AA21" s="467">
        <v>1</v>
      </c>
      <c r="AB21" s="467">
        <v>1</v>
      </c>
      <c r="AC21" s="467">
        <v>1</v>
      </c>
      <c r="AD21" s="467">
        <v>1</v>
      </c>
      <c r="AE21" s="467">
        <v>1</v>
      </c>
      <c r="AF21" s="468">
        <v>1</v>
      </c>
      <c r="AG21" s="467">
        <v>1</v>
      </c>
      <c r="AH21" s="467">
        <v>1</v>
      </c>
      <c r="AI21" s="469">
        <v>1</v>
      </c>
      <c r="AJ21" s="467">
        <v>1</v>
      </c>
      <c r="AK21" s="467">
        <v>1</v>
      </c>
      <c r="AL21" s="467">
        <v>1</v>
      </c>
      <c r="AM21" s="467">
        <v>1</v>
      </c>
      <c r="AN21" s="468">
        <v>1</v>
      </c>
      <c r="AO21" s="467">
        <v>1</v>
      </c>
      <c r="AP21" s="467">
        <v>1</v>
      </c>
      <c r="AQ21" s="469">
        <v>1</v>
      </c>
      <c r="AR21" s="468">
        <v>1</v>
      </c>
      <c r="AS21" s="467">
        <v>1</v>
      </c>
      <c r="AT21" s="467">
        <v>1</v>
      </c>
      <c r="AU21" s="469">
        <v>1</v>
      </c>
      <c r="AV21" s="467">
        <v>2</v>
      </c>
      <c r="AW21" s="467">
        <v>1</v>
      </c>
      <c r="AX21" s="470">
        <v>2</v>
      </c>
    </row>
    <row r="22" spans="1:50" ht="17.399999999999999" customHeight="1">
      <c r="A22" s="403">
        <v>3210</v>
      </c>
      <c r="B22" s="404" t="s">
        <v>21</v>
      </c>
      <c r="C22" s="404">
        <v>17</v>
      </c>
      <c r="D22" s="405">
        <v>3</v>
      </c>
      <c r="E22" s="406" t="s">
        <v>576</v>
      </c>
      <c r="F22" s="407" t="s">
        <v>181</v>
      </c>
      <c r="G22" s="430">
        <v>43402</v>
      </c>
      <c r="H22" s="377">
        <v>43402</v>
      </c>
      <c r="I22" s="383"/>
      <c r="J22" s="378">
        <v>1</v>
      </c>
      <c r="K22" s="378">
        <v>1.5</v>
      </c>
      <c r="L22" s="378">
        <f t="shared" si="0"/>
        <v>34</v>
      </c>
      <c r="M22" s="408">
        <f t="shared" si="1"/>
        <v>0.91891891891891897</v>
      </c>
      <c r="N22" s="378">
        <v>5</v>
      </c>
      <c r="O22" s="431">
        <v>43409</v>
      </c>
      <c r="P22" s="379">
        <v>-1</v>
      </c>
      <c r="Q22" s="380">
        <v>1</v>
      </c>
      <c r="R22" s="379">
        <v>1</v>
      </c>
      <c r="S22" s="379">
        <v>1</v>
      </c>
      <c r="T22" s="379">
        <v>1</v>
      </c>
      <c r="U22" s="379">
        <v>1</v>
      </c>
      <c r="V22" s="381">
        <v>1</v>
      </c>
      <c r="W22" s="379">
        <v>1</v>
      </c>
      <c r="X22" s="379">
        <v>1</v>
      </c>
      <c r="Y22" s="379">
        <v>1</v>
      </c>
      <c r="Z22" s="379">
        <v>1</v>
      </c>
      <c r="AA22" s="379">
        <v>1</v>
      </c>
      <c r="AB22" s="379">
        <v>1</v>
      </c>
      <c r="AC22" s="379">
        <v>1</v>
      </c>
      <c r="AD22" s="379">
        <v>1</v>
      </c>
      <c r="AE22" s="379">
        <v>1</v>
      </c>
      <c r="AF22" s="380">
        <v>0</v>
      </c>
      <c r="AG22" s="379">
        <v>0</v>
      </c>
      <c r="AH22" s="379">
        <v>1</v>
      </c>
      <c r="AI22" s="381">
        <v>1</v>
      </c>
      <c r="AJ22" s="379">
        <v>1</v>
      </c>
      <c r="AK22" s="379">
        <v>1</v>
      </c>
      <c r="AL22" s="379">
        <v>1</v>
      </c>
      <c r="AM22" s="379">
        <v>1</v>
      </c>
      <c r="AN22" s="380">
        <v>1</v>
      </c>
      <c r="AO22" s="379">
        <v>1</v>
      </c>
      <c r="AP22" s="379">
        <v>1</v>
      </c>
      <c r="AQ22" s="381">
        <v>1</v>
      </c>
      <c r="AR22" s="380">
        <v>1</v>
      </c>
      <c r="AS22" s="379">
        <v>1</v>
      </c>
      <c r="AT22" s="379">
        <v>1</v>
      </c>
      <c r="AU22" s="381">
        <v>1</v>
      </c>
      <c r="AV22" s="379">
        <v>2</v>
      </c>
      <c r="AW22" s="379">
        <v>1</v>
      </c>
      <c r="AX22" s="382">
        <v>3</v>
      </c>
    </row>
    <row r="23" spans="1:50" ht="17.399999999999999" customHeight="1">
      <c r="A23" s="403">
        <v>3211</v>
      </c>
      <c r="B23" s="404" t="s">
        <v>21</v>
      </c>
      <c r="C23" s="404">
        <v>18</v>
      </c>
      <c r="D23" s="405">
        <v>3</v>
      </c>
      <c r="E23" s="406" t="s">
        <v>577</v>
      </c>
      <c r="F23" s="407" t="s">
        <v>125</v>
      </c>
      <c r="G23" s="430">
        <v>43402</v>
      </c>
      <c r="H23" s="377">
        <v>43402</v>
      </c>
      <c r="I23" s="383"/>
      <c r="J23" s="378">
        <v>1</v>
      </c>
      <c r="K23" s="378">
        <v>1.5</v>
      </c>
      <c r="L23" s="378">
        <f t="shared" si="0"/>
        <v>25</v>
      </c>
      <c r="M23" s="408">
        <f t="shared" si="1"/>
        <v>0.67567567567567566</v>
      </c>
      <c r="N23" s="378">
        <v>3</v>
      </c>
      <c r="O23" s="431">
        <v>43409</v>
      </c>
      <c r="P23" s="379"/>
      <c r="Q23" s="380">
        <v>1</v>
      </c>
      <c r="R23" s="379">
        <v>1</v>
      </c>
      <c r="S23" s="379">
        <v>1</v>
      </c>
      <c r="T23" s="379">
        <v>1</v>
      </c>
      <c r="U23" s="379">
        <v>0</v>
      </c>
      <c r="V23" s="381">
        <v>0</v>
      </c>
      <c r="W23" s="379">
        <v>1</v>
      </c>
      <c r="X23" s="379">
        <v>1</v>
      </c>
      <c r="Y23" s="379">
        <v>1</v>
      </c>
      <c r="Z23" s="379">
        <v>1</v>
      </c>
      <c r="AA23" s="379">
        <v>1</v>
      </c>
      <c r="AB23" s="379">
        <v>1</v>
      </c>
      <c r="AC23" s="379">
        <v>1</v>
      </c>
      <c r="AD23" s="379">
        <v>1</v>
      </c>
      <c r="AE23" s="379">
        <v>1</v>
      </c>
      <c r="AF23" s="380">
        <v>0</v>
      </c>
      <c r="AG23" s="379">
        <v>0</v>
      </c>
      <c r="AH23" s="379">
        <v>0</v>
      </c>
      <c r="AI23" s="381">
        <v>0</v>
      </c>
      <c r="AJ23" s="379">
        <v>1</v>
      </c>
      <c r="AK23" s="379">
        <v>1</v>
      </c>
      <c r="AL23" s="379">
        <v>1</v>
      </c>
      <c r="AM23" s="379">
        <v>0</v>
      </c>
      <c r="AN23" s="380">
        <v>1</v>
      </c>
      <c r="AO23" s="379">
        <v>1</v>
      </c>
      <c r="AP23" s="379">
        <v>1</v>
      </c>
      <c r="AQ23" s="381">
        <v>1</v>
      </c>
      <c r="AR23" s="380">
        <v>0</v>
      </c>
      <c r="AS23" s="379">
        <v>1</v>
      </c>
      <c r="AT23" s="379">
        <v>1</v>
      </c>
      <c r="AU23" s="381">
        <v>1</v>
      </c>
      <c r="AV23" s="379">
        <v>2</v>
      </c>
      <c r="AW23" s="379">
        <v>0</v>
      </c>
      <c r="AX23" s="382">
        <v>0</v>
      </c>
    </row>
    <row r="24" spans="1:50" ht="17.399999999999999" customHeight="1">
      <c r="A24" s="403">
        <v>3212</v>
      </c>
      <c r="B24" s="409" t="s">
        <v>21</v>
      </c>
      <c r="C24" s="409">
        <v>19</v>
      </c>
      <c r="D24" s="405">
        <v>2</v>
      </c>
      <c r="E24" s="410" t="s">
        <v>672</v>
      </c>
      <c r="F24" s="411" t="s">
        <v>678</v>
      </c>
      <c r="G24" s="430">
        <v>43420</v>
      </c>
      <c r="H24" s="377">
        <v>43420</v>
      </c>
      <c r="I24" s="383"/>
      <c r="J24" s="378">
        <v>1</v>
      </c>
      <c r="K24" s="378">
        <v>1.5</v>
      </c>
      <c r="L24" s="378">
        <f t="shared" si="0"/>
        <v>25</v>
      </c>
      <c r="M24" s="408">
        <f t="shared" si="1"/>
        <v>0.67567567567567566</v>
      </c>
      <c r="N24" s="378">
        <v>3</v>
      </c>
      <c r="O24" s="431">
        <v>43420</v>
      </c>
      <c r="P24" s="379">
        <v>-1</v>
      </c>
      <c r="Q24" s="380">
        <v>1</v>
      </c>
      <c r="R24" s="379">
        <v>1</v>
      </c>
      <c r="S24" s="379">
        <v>1</v>
      </c>
      <c r="T24" s="379">
        <v>1</v>
      </c>
      <c r="U24" s="379">
        <v>0</v>
      </c>
      <c r="V24" s="381">
        <v>0</v>
      </c>
      <c r="W24" s="379">
        <v>1</v>
      </c>
      <c r="X24" s="379">
        <v>1</v>
      </c>
      <c r="Y24" s="379">
        <v>0</v>
      </c>
      <c r="Z24" s="379">
        <v>1</v>
      </c>
      <c r="AA24" s="379">
        <v>1</v>
      </c>
      <c r="AB24" s="379">
        <v>1</v>
      </c>
      <c r="AC24" s="379">
        <v>1</v>
      </c>
      <c r="AD24" s="379">
        <v>1</v>
      </c>
      <c r="AE24" s="379">
        <v>1</v>
      </c>
      <c r="AF24" s="380">
        <v>1</v>
      </c>
      <c r="AG24" s="379">
        <v>1</v>
      </c>
      <c r="AH24" s="379">
        <v>0</v>
      </c>
      <c r="AI24" s="381">
        <v>0</v>
      </c>
      <c r="AJ24" s="379">
        <v>1</v>
      </c>
      <c r="AK24" s="379">
        <v>1</v>
      </c>
      <c r="AL24" s="379">
        <v>1</v>
      </c>
      <c r="AM24" s="379">
        <v>1</v>
      </c>
      <c r="AN24" s="380">
        <v>1</v>
      </c>
      <c r="AO24" s="379">
        <v>1</v>
      </c>
      <c r="AP24" s="379">
        <v>1</v>
      </c>
      <c r="AQ24" s="381">
        <v>1</v>
      </c>
      <c r="AR24" s="380">
        <v>0</v>
      </c>
      <c r="AS24" s="379">
        <v>1</v>
      </c>
      <c r="AT24" s="379">
        <v>0</v>
      </c>
      <c r="AU24" s="447">
        <v>1</v>
      </c>
      <c r="AV24" s="379">
        <v>2</v>
      </c>
      <c r="AW24" s="379">
        <v>0</v>
      </c>
      <c r="AX24" s="382">
        <v>0</v>
      </c>
    </row>
    <row r="25" spans="1:50" ht="17.399999999999999" customHeight="1">
      <c r="A25" s="403">
        <v>3213</v>
      </c>
      <c r="B25" s="404" t="s">
        <v>21</v>
      </c>
      <c r="C25" s="404">
        <v>20</v>
      </c>
      <c r="D25" s="405">
        <v>1</v>
      </c>
      <c r="E25" s="406" t="s">
        <v>380</v>
      </c>
      <c r="F25" s="407" t="s">
        <v>80</v>
      </c>
      <c r="G25" s="430">
        <v>43403</v>
      </c>
      <c r="H25" s="377">
        <v>43403</v>
      </c>
      <c r="I25" s="383"/>
      <c r="J25" s="378">
        <v>1</v>
      </c>
      <c r="K25" s="378">
        <v>1.5</v>
      </c>
      <c r="L25" s="378">
        <f t="shared" si="0"/>
        <v>36</v>
      </c>
      <c r="M25" s="408">
        <f t="shared" si="1"/>
        <v>0.97297297297297303</v>
      </c>
      <c r="N25" s="378" t="s">
        <v>36</v>
      </c>
      <c r="O25" s="431">
        <v>43410</v>
      </c>
      <c r="P25" s="379"/>
      <c r="Q25" s="380">
        <v>1</v>
      </c>
      <c r="R25" s="379">
        <v>1</v>
      </c>
      <c r="S25" s="379">
        <v>1</v>
      </c>
      <c r="T25" s="379">
        <v>1</v>
      </c>
      <c r="U25" s="379">
        <v>1</v>
      </c>
      <c r="V25" s="381">
        <v>1</v>
      </c>
      <c r="W25" s="379">
        <v>1</v>
      </c>
      <c r="X25" s="379">
        <v>1</v>
      </c>
      <c r="Y25" s="379">
        <v>1</v>
      </c>
      <c r="Z25" s="379">
        <v>1</v>
      </c>
      <c r="AA25" s="379">
        <v>1</v>
      </c>
      <c r="AB25" s="379">
        <v>1</v>
      </c>
      <c r="AC25" s="379">
        <v>1</v>
      </c>
      <c r="AD25" s="379">
        <v>1</v>
      </c>
      <c r="AE25" s="379">
        <v>1</v>
      </c>
      <c r="AF25" s="380">
        <v>1</v>
      </c>
      <c r="AG25" s="379">
        <v>1</v>
      </c>
      <c r="AH25" s="379">
        <v>0</v>
      </c>
      <c r="AI25" s="381">
        <v>1</v>
      </c>
      <c r="AJ25" s="379">
        <v>1</v>
      </c>
      <c r="AK25" s="379">
        <v>1</v>
      </c>
      <c r="AL25" s="379">
        <v>1</v>
      </c>
      <c r="AM25" s="379">
        <v>1</v>
      </c>
      <c r="AN25" s="380">
        <v>1</v>
      </c>
      <c r="AO25" s="379">
        <v>1</v>
      </c>
      <c r="AP25" s="379">
        <v>1</v>
      </c>
      <c r="AQ25" s="381">
        <v>1</v>
      </c>
      <c r="AR25" s="380">
        <v>1</v>
      </c>
      <c r="AS25" s="379">
        <v>1</v>
      </c>
      <c r="AT25" s="379">
        <v>1</v>
      </c>
      <c r="AU25" s="381">
        <v>1</v>
      </c>
      <c r="AV25" s="379">
        <v>2</v>
      </c>
      <c r="AW25" s="379">
        <v>1</v>
      </c>
      <c r="AX25" s="382">
        <v>3</v>
      </c>
    </row>
    <row r="26" spans="1:50" ht="17.399999999999999" customHeight="1">
      <c r="A26" s="403">
        <v>3214</v>
      </c>
      <c r="B26" s="404" t="s">
        <v>21</v>
      </c>
      <c r="C26" s="404">
        <v>21</v>
      </c>
      <c r="D26" s="405">
        <v>1</v>
      </c>
      <c r="E26" s="406" t="s">
        <v>122</v>
      </c>
      <c r="F26" s="407" t="s">
        <v>79</v>
      </c>
      <c r="G26" s="430">
        <v>43425</v>
      </c>
      <c r="H26" s="377">
        <v>43425</v>
      </c>
      <c r="I26" s="383"/>
      <c r="J26" s="378">
        <v>1</v>
      </c>
      <c r="K26" s="378">
        <v>1.5</v>
      </c>
      <c r="L26" s="378">
        <f t="shared" si="0"/>
        <v>31</v>
      </c>
      <c r="M26" s="408">
        <f t="shared" si="1"/>
        <v>0.83783783783783783</v>
      </c>
      <c r="N26" s="378" t="s">
        <v>34</v>
      </c>
      <c r="O26" s="431">
        <v>43426</v>
      </c>
      <c r="P26" s="379"/>
      <c r="Q26" s="380">
        <v>1</v>
      </c>
      <c r="R26" s="379">
        <v>1</v>
      </c>
      <c r="S26" s="379">
        <v>1</v>
      </c>
      <c r="T26" s="379">
        <v>1</v>
      </c>
      <c r="U26" s="379">
        <v>0</v>
      </c>
      <c r="V26" s="381">
        <v>0</v>
      </c>
      <c r="W26" s="379">
        <v>1</v>
      </c>
      <c r="X26" s="379">
        <v>1</v>
      </c>
      <c r="Y26" s="379">
        <v>1</v>
      </c>
      <c r="Z26" s="379">
        <v>1</v>
      </c>
      <c r="AA26" s="379">
        <v>1</v>
      </c>
      <c r="AB26" s="379">
        <v>0</v>
      </c>
      <c r="AC26" s="379">
        <v>1</v>
      </c>
      <c r="AD26" s="379">
        <v>1</v>
      </c>
      <c r="AE26" s="379">
        <v>1</v>
      </c>
      <c r="AF26" s="380">
        <v>1</v>
      </c>
      <c r="AG26" s="379">
        <v>1</v>
      </c>
      <c r="AH26" s="379">
        <v>1</v>
      </c>
      <c r="AI26" s="381">
        <v>1</v>
      </c>
      <c r="AJ26" s="379">
        <v>1</v>
      </c>
      <c r="AK26" s="379">
        <v>1</v>
      </c>
      <c r="AL26" s="379">
        <v>1</v>
      </c>
      <c r="AM26" s="379">
        <v>1</v>
      </c>
      <c r="AN26" s="380">
        <v>1</v>
      </c>
      <c r="AO26" s="379">
        <v>1</v>
      </c>
      <c r="AP26" s="379">
        <v>1</v>
      </c>
      <c r="AQ26" s="381">
        <v>1</v>
      </c>
      <c r="AR26" s="380">
        <v>1</v>
      </c>
      <c r="AS26" s="379">
        <v>1</v>
      </c>
      <c r="AT26" s="379">
        <v>1</v>
      </c>
      <c r="AU26" s="381">
        <v>1</v>
      </c>
      <c r="AV26" s="379">
        <v>2</v>
      </c>
      <c r="AW26" s="379">
        <v>0</v>
      </c>
      <c r="AX26" s="382">
        <v>1</v>
      </c>
    </row>
    <row r="27" spans="1:50" ht="17.399999999999999" customHeight="1">
      <c r="A27" s="403">
        <v>3215</v>
      </c>
      <c r="B27" s="404" t="s">
        <v>21</v>
      </c>
      <c r="C27" s="404">
        <v>22</v>
      </c>
      <c r="D27" s="405">
        <v>3</v>
      </c>
      <c r="E27" s="406" t="s">
        <v>578</v>
      </c>
      <c r="F27" s="407" t="s">
        <v>65</v>
      </c>
      <c r="G27" s="430">
        <v>43402</v>
      </c>
      <c r="H27" s="377">
        <v>43402</v>
      </c>
      <c r="I27" s="383"/>
      <c r="J27" s="378">
        <v>1</v>
      </c>
      <c r="K27" s="378">
        <v>1.5</v>
      </c>
      <c r="L27" s="378">
        <f t="shared" si="0"/>
        <v>34</v>
      </c>
      <c r="M27" s="408">
        <f t="shared" si="1"/>
        <v>0.91891891891891897</v>
      </c>
      <c r="N27" s="378">
        <v>5</v>
      </c>
      <c r="O27" s="431">
        <v>43409</v>
      </c>
      <c r="P27" s="379"/>
      <c r="Q27" s="380">
        <v>1</v>
      </c>
      <c r="R27" s="379">
        <v>1</v>
      </c>
      <c r="S27" s="379">
        <v>1</v>
      </c>
      <c r="T27" s="379">
        <v>1</v>
      </c>
      <c r="U27" s="379">
        <v>1</v>
      </c>
      <c r="V27" s="381">
        <v>1</v>
      </c>
      <c r="W27" s="379">
        <v>1</v>
      </c>
      <c r="X27" s="379">
        <v>1</v>
      </c>
      <c r="Y27" s="379">
        <v>1</v>
      </c>
      <c r="Z27" s="379">
        <v>1</v>
      </c>
      <c r="AA27" s="379">
        <v>1</v>
      </c>
      <c r="AB27" s="379">
        <v>1</v>
      </c>
      <c r="AC27" s="379">
        <v>1</v>
      </c>
      <c r="AD27" s="379">
        <v>1</v>
      </c>
      <c r="AE27" s="379">
        <v>1</v>
      </c>
      <c r="AF27" s="380">
        <v>1</v>
      </c>
      <c r="AG27" s="379">
        <v>1</v>
      </c>
      <c r="AH27" s="379">
        <v>1</v>
      </c>
      <c r="AI27" s="381">
        <v>1</v>
      </c>
      <c r="AJ27" s="379">
        <v>1</v>
      </c>
      <c r="AK27" s="379">
        <v>1</v>
      </c>
      <c r="AL27" s="379">
        <v>1</v>
      </c>
      <c r="AM27" s="379">
        <v>1</v>
      </c>
      <c r="AN27" s="380">
        <v>1</v>
      </c>
      <c r="AO27" s="379">
        <v>1</v>
      </c>
      <c r="AP27" s="379">
        <v>1</v>
      </c>
      <c r="AQ27" s="381">
        <v>1</v>
      </c>
      <c r="AR27" s="380">
        <v>1</v>
      </c>
      <c r="AS27" s="379">
        <v>1</v>
      </c>
      <c r="AT27" s="379">
        <v>1</v>
      </c>
      <c r="AU27" s="381">
        <v>1</v>
      </c>
      <c r="AV27" s="379">
        <v>2</v>
      </c>
      <c r="AW27" s="379">
        <v>1</v>
      </c>
      <c r="AX27" s="382">
        <v>0</v>
      </c>
    </row>
    <row r="28" spans="1:50" ht="17.399999999999999" customHeight="1">
      <c r="A28" s="403">
        <v>3216</v>
      </c>
      <c r="B28" s="404" t="s">
        <v>21</v>
      </c>
      <c r="C28" s="404">
        <v>23</v>
      </c>
      <c r="D28" s="405">
        <v>1</v>
      </c>
      <c r="E28" s="406" t="s">
        <v>579</v>
      </c>
      <c r="F28" s="407" t="s">
        <v>127</v>
      </c>
      <c r="G28" s="430">
        <v>43410</v>
      </c>
      <c r="H28" s="377">
        <v>43410</v>
      </c>
      <c r="I28" s="383"/>
      <c r="J28" s="378">
        <v>1</v>
      </c>
      <c r="K28" s="378">
        <v>1.5</v>
      </c>
      <c r="L28" s="378">
        <f t="shared" si="0"/>
        <v>31</v>
      </c>
      <c r="M28" s="408">
        <f t="shared" si="1"/>
        <v>0.83783783783783783</v>
      </c>
      <c r="N28" s="378" t="s">
        <v>34</v>
      </c>
      <c r="O28" s="431">
        <v>43410</v>
      </c>
      <c r="P28" s="379">
        <v>-2</v>
      </c>
      <c r="Q28" s="380">
        <v>1</v>
      </c>
      <c r="R28" s="379">
        <v>1</v>
      </c>
      <c r="S28" s="379">
        <v>1</v>
      </c>
      <c r="T28" s="379">
        <v>1</v>
      </c>
      <c r="U28" s="379">
        <v>0</v>
      </c>
      <c r="V28" s="381">
        <v>0</v>
      </c>
      <c r="W28" s="379">
        <v>1</v>
      </c>
      <c r="X28" s="379">
        <v>1</v>
      </c>
      <c r="Y28" s="379">
        <v>1</v>
      </c>
      <c r="Z28" s="379">
        <v>1</v>
      </c>
      <c r="AA28" s="379">
        <v>1</v>
      </c>
      <c r="AB28" s="379">
        <v>1</v>
      </c>
      <c r="AC28" s="379">
        <v>1</v>
      </c>
      <c r="AD28" s="379">
        <v>1</v>
      </c>
      <c r="AE28" s="379">
        <v>1</v>
      </c>
      <c r="AF28" s="380">
        <v>1</v>
      </c>
      <c r="AG28" s="379">
        <v>1</v>
      </c>
      <c r="AH28" s="379">
        <v>1</v>
      </c>
      <c r="AI28" s="381">
        <v>1</v>
      </c>
      <c r="AJ28" s="379">
        <v>1</v>
      </c>
      <c r="AK28" s="379">
        <v>1</v>
      </c>
      <c r="AL28" s="379">
        <v>1</v>
      </c>
      <c r="AM28" s="379">
        <v>1</v>
      </c>
      <c r="AN28" s="380">
        <v>1</v>
      </c>
      <c r="AO28" s="379">
        <v>1</v>
      </c>
      <c r="AP28" s="379">
        <v>1</v>
      </c>
      <c r="AQ28" s="381">
        <v>1</v>
      </c>
      <c r="AR28" s="380">
        <v>0</v>
      </c>
      <c r="AS28" s="379">
        <v>1</v>
      </c>
      <c r="AT28" s="379">
        <v>1</v>
      </c>
      <c r="AU28" s="381">
        <v>1</v>
      </c>
      <c r="AV28" s="379">
        <v>2</v>
      </c>
      <c r="AW28" s="379">
        <v>0</v>
      </c>
      <c r="AX28" s="382">
        <v>3</v>
      </c>
    </row>
    <row r="29" spans="1:50" ht="17.399999999999999" customHeight="1">
      <c r="A29" s="403">
        <v>3217</v>
      </c>
      <c r="B29" s="409" t="s">
        <v>21</v>
      </c>
      <c r="C29" s="409">
        <v>24</v>
      </c>
      <c r="D29" s="405">
        <v>2</v>
      </c>
      <c r="E29" s="410" t="s">
        <v>439</v>
      </c>
      <c r="F29" s="411" t="s">
        <v>47</v>
      </c>
      <c r="G29" s="430">
        <v>43420</v>
      </c>
      <c r="H29" s="377">
        <v>43420</v>
      </c>
      <c r="I29" s="383"/>
      <c r="J29" s="378">
        <v>1</v>
      </c>
      <c r="K29" s="378">
        <v>1.5</v>
      </c>
      <c r="L29" s="378">
        <f t="shared" si="0"/>
        <v>19</v>
      </c>
      <c r="M29" s="408">
        <f t="shared" si="1"/>
        <v>0.51351351351351349</v>
      </c>
      <c r="N29" s="378" t="s">
        <v>31</v>
      </c>
      <c r="O29" s="431">
        <v>43420</v>
      </c>
      <c r="P29" s="379">
        <v>-1</v>
      </c>
      <c r="Q29" s="380">
        <v>1</v>
      </c>
      <c r="R29" s="379">
        <v>0</v>
      </c>
      <c r="S29" s="379">
        <v>0</v>
      </c>
      <c r="T29" s="379">
        <v>1</v>
      </c>
      <c r="U29" s="379">
        <v>0</v>
      </c>
      <c r="V29" s="381">
        <v>0</v>
      </c>
      <c r="W29" s="379">
        <v>1</v>
      </c>
      <c r="X29" s="379">
        <v>1</v>
      </c>
      <c r="Y29" s="379">
        <v>1</v>
      </c>
      <c r="Z29" s="379">
        <v>1</v>
      </c>
      <c r="AA29" s="379">
        <v>1</v>
      </c>
      <c r="AB29" s="379">
        <v>1</v>
      </c>
      <c r="AC29" s="379">
        <v>0</v>
      </c>
      <c r="AD29" s="379">
        <v>1</v>
      </c>
      <c r="AE29" s="379">
        <v>0</v>
      </c>
      <c r="AF29" s="380">
        <v>1</v>
      </c>
      <c r="AG29" s="379">
        <v>1</v>
      </c>
      <c r="AH29" s="379">
        <v>1</v>
      </c>
      <c r="AI29" s="381">
        <v>0</v>
      </c>
      <c r="AJ29" s="379">
        <v>1</v>
      </c>
      <c r="AK29" s="379">
        <v>1</v>
      </c>
      <c r="AL29" s="379">
        <v>1</v>
      </c>
      <c r="AM29" s="379">
        <v>0</v>
      </c>
      <c r="AN29" s="380">
        <v>1</v>
      </c>
      <c r="AO29" s="379">
        <v>0</v>
      </c>
      <c r="AP29" s="379">
        <v>1</v>
      </c>
      <c r="AQ29" s="381">
        <v>1</v>
      </c>
      <c r="AR29" s="380">
        <v>0</v>
      </c>
      <c r="AS29" s="379">
        <v>1</v>
      </c>
      <c r="AT29" s="379">
        <v>0</v>
      </c>
      <c r="AU29" s="447">
        <v>1</v>
      </c>
      <c r="AV29" s="379">
        <v>0</v>
      </c>
      <c r="AW29" s="379">
        <v>0</v>
      </c>
      <c r="AX29" s="382">
        <v>0</v>
      </c>
    </row>
    <row r="30" spans="1:50" ht="17.399999999999999" customHeight="1">
      <c r="A30" s="403">
        <v>3218</v>
      </c>
      <c r="B30" s="404" t="s">
        <v>21</v>
      </c>
      <c r="C30" s="404">
        <v>25</v>
      </c>
      <c r="D30" s="405">
        <v>3</v>
      </c>
      <c r="E30" s="406" t="s">
        <v>580</v>
      </c>
      <c r="F30" s="407" t="s">
        <v>11</v>
      </c>
      <c r="G30" s="430">
        <v>43402</v>
      </c>
      <c r="H30" s="377">
        <v>43402</v>
      </c>
      <c r="I30" s="383"/>
      <c r="J30" s="378">
        <v>1</v>
      </c>
      <c r="K30" s="378">
        <v>1.5</v>
      </c>
      <c r="L30" s="378">
        <f t="shared" si="0"/>
        <v>37</v>
      </c>
      <c r="M30" s="408">
        <f t="shared" si="1"/>
        <v>1</v>
      </c>
      <c r="N30" s="378">
        <v>6</v>
      </c>
      <c r="O30" s="431">
        <v>43409</v>
      </c>
      <c r="P30" s="379"/>
      <c r="Q30" s="380">
        <v>1</v>
      </c>
      <c r="R30" s="379">
        <v>1</v>
      </c>
      <c r="S30" s="379">
        <v>1</v>
      </c>
      <c r="T30" s="379">
        <v>1</v>
      </c>
      <c r="U30" s="379">
        <v>1</v>
      </c>
      <c r="V30" s="381">
        <v>1</v>
      </c>
      <c r="W30" s="379">
        <v>1</v>
      </c>
      <c r="X30" s="379">
        <v>1</v>
      </c>
      <c r="Y30" s="379">
        <v>1</v>
      </c>
      <c r="Z30" s="379">
        <v>1</v>
      </c>
      <c r="AA30" s="379">
        <v>1</v>
      </c>
      <c r="AB30" s="379">
        <v>1</v>
      </c>
      <c r="AC30" s="379">
        <v>1</v>
      </c>
      <c r="AD30" s="379">
        <v>1</v>
      </c>
      <c r="AE30" s="379">
        <v>1</v>
      </c>
      <c r="AF30" s="380">
        <v>1</v>
      </c>
      <c r="AG30" s="379">
        <v>1</v>
      </c>
      <c r="AH30" s="379">
        <v>1</v>
      </c>
      <c r="AI30" s="381">
        <v>1</v>
      </c>
      <c r="AJ30" s="379">
        <v>1</v>
      </c>
      <c r="AK30" s="379">
        <v>1</v>
      </c>
      <c r="AL30" s="379">
        <v>1</v>
      </c>
      <c r="AM30" s="379">
        <v>1</v>
      </c>
      <c r="AN30" s="380">
        <v>1</v>
      </c>
      <c r="AO30" s="379">
        <v>1</v>
      </c>
      <c r="AP30" s="379">
        <v>1</v>
      </c>
      <c r="AQ30" s="381">
        <v>1</v>
      </c>
      <c r="AR30" s="380">
        <v>1</v>
      </c>
      <c r="AS30" s="379">
        <v>1</v>
      </c>
      <c r="AT30" s="379">
        <v>1</v>
      </c>
      <c r="AU30" s="381">
        <v>1</v>
      </c>
      <c r="AV30" s="379">
        <v>2</v>
      </c>
      <c r="AW30" s="379">
        <v>1</v>
      </c>
      <c r="AX30" s="382">
        <v>3</v>
      </c>
    </row>
    <row r="31" spans="1:50" ht="17.399999999999999" customHeight="1">
      <c r="A31" s="403">
        <v>3219</v>
      </c>
      <c r="B31" s="409" t="s">
        <v>21</v>
      </c>
      <c r="C31" s="409">
        <v>26</v>
      </c>
      <c r="D31" s="405">
        <v>3</v>
      </c>
      <c r="E31" s="410" t="s">
        <v>581</v>
      </c>
      <c r="F31" s="411" t="s">
        <v>685</v>
      </c>
      <c r="G31" s="430">
        <v>43402</v>
      </c>
      <c r="H31" s="377">
        <v>43402</v>
      </c>
      <c r="I31" s="383"/>
      <c r="J31" s="378">
        <v>1</v>
      </c>
      <c r="K31" s="378">
        <v>1.5</v>
      </c>
      <c r="L31" s="378">
        <f t="shared" si="0"/>
        <v>35</v>
      </c>
      <c r="M31" s="408">
        <f t="shared" si="1"/>
        <v>0.94594594594594594</v>
      </c>
      <c r="N31" s="378">
        <v>5</v>
      </c>
      <c r="O31" s="431">
        <v>43409</v>
      </c>
      <c r="P31" s="379"/>
      <c r="Q31" s="380">
        <v>1</v>
      </c>
      <c r="R31" s="379">
        <v>1</v>
      </c>
      <c r="S31" s="379">
        <v>1</v>
      </c>
      <c r="T31" s="379">
        <v>1</v>
      </c>
      <c r="U31" s="379">
        <v>1</v>
      </c>
      <c r="V31" s="381">
        <v>0</v>
      </c>
      <c r="W31" s="379">
        <v>1</v>
      </c>
      <c r="X31" s="379">
        <v>1</v>
      </c>
      <c r="Y31" s="379">
        <v>0</v>
      </c>
      <c r="Z31" s="379">
        <v>1</v>
      </c>
      <c r="AA31" s="379">
        <v>1</v>
      </c>
      <c r="AB31" s="379">
        <v>1</v>
      </c>
      <c r="AC31" s="379">
        <v>1</v>
      </c>
      <c r="AD31" s="379">
        <v>1</v>
      </c>
      <c r="AE31" s="379">
        <v>1</v>
      </c>
      <c r="AF31" s="380">
        <v>1</v>
      </c>
      <c r="AG31" s="379">
        <v>1</v>
      </c>
      <c r="AH31" s="379">
        <v>1</v>
      </c>
      <c r="AI31" s="381">
        <v>1</v>
      </c>
      <c r="AJ31" s="379">
        <v>1</v>
      </c>
      <c r="AK31" s="379">
        <v>1</v>
      </c>
      <c r="AL31" s="379">
        <v>1</v>
      </c>
      <c r="AM31" s="379">
        <v>1</v>
      </c>
      <c r="AN31" s="380">
        <v>1</v>
      </c>
      <c r="AO31" s="379">
        <v>1</v>
      </c>
      <c r="AP31" s="379">
        <v>1</v>
      </c>
      <c r="AQ31" s="381">
        <v>1</v>
      </c>
      <c r="AR31" s="380">
        <v>1</v>
      </c>
      <c r="AS31" s="379">
        <v>1</v>
      </c>
      <c r="AT31" s="379">
        <v>1</v>
      </c>
      <c r="AU31" s="381">
        <v>1</v>
      </c>
      <c r="AV31" s="379">
        <v>2</v>
      </c>
      <c r="AW31" s="379">
        <v>1</v>
      </c>
      <c r="AX31" s="382">
        <v>3</v>
      </c>
    </row>
    <row r="32" spans="1:50" ht="17.399999999999999" customHeight="1">
      <c r="A32" s="403">
        <v>3220</v>
      </c>
      <c r="B32" s="404" t="s">
        <v>21</v>
      </c>
      <c r="C32" s="404">
        <v>27</v>
      </c>
      <c r="D32" s="405">
        <v>1</v>
      </c>
      <c r="E32" s="406" t="s">
        <v>582</v>
      </c>
      <c r="F32" s="407" t="s">
        <v>593</v>
      </c>
      <c r="G32" s="430">
        <v>43410</v>
      </c>
      <c r="H32" s="377">
        <v>43410</v>
      </c>
      <c r="I32" s="383"/>
      <c r="J32" s="378">
        <v>1</v>
      </c>
      <c r="K32" s="378">
        <v>1.5</v>
      </c>
      <c r="L32" s="378">
        <f t="shared" si="0"/>
        <v>33</v>
      </c>
      <c r="M32" s="408">
        <f t="shared" si="1"/>
        <v>0.89189189189189189</v>
      </c>
      <c r="N32" s="378">
        <v>5</v>
      </c>
      <c r="O32" s="431">
        <v>43410</v>
      </c>
      <c r="P32" s="379">
        <v>-1</v>
      </c>
      <c r="Q32" s="380">
        <v>1</v>
      </c>
      <c r="R32" s="379">
        <v>1</v>
      </c>
      <c r="S32" s="379">
        <v>1</v>
      </c>
      <c r="T32" s="379">
        <v>1</v>
      </c>
      <c r="U32" s="379">
        <v>1</v>
      </c>
      <c r="V32" s="381">
        <v>0</v>
      </c>
      <c r="W32" s="379">
        <v>1</v>
      </c>
      <c r="X32" s="379">
        <v>1</v>
      </c>
      <c r="Y32" s="379">
        <v>1</v>
      </c>
      <c r="Z32" s="379">
        <v>1</v>
      </c>
      <c r="AA32" s="379">
        <v>1</v>
      </c>
      <c r="AB32" s="379">
        <v>1</v>
      </c>
      <c r="AC32" s="379">
        <v>1</v>
      </c>
      <c r="AD32" s="379">
        <v>1</v>
      </c>
      <c r="AE32" s="379">
        <v>1</v>
      </c>
      <c r="AF32" s="380">
        <v>1</v>
      </c>
      <c r="AG32" s="379">
        <v>1</v>
      </c>
      <c r="AH32" s="379">
        <v>1</v>
      </c>
      <c r="AI32" s="381">
        <v>1</v>
      </c>
      <c r="AJ32" s="379">
        <v>1</v>
      </c>
      <c r="AK32" s="379">
        <v>1</v>
      </c>
      <c r="AL32" s="379">
        <v>1</v>
      </c>
      <c r="AM32" s="379">
        <v>1</v>
      </c>
      <c r="AN32" s="380">
        <v>1</v>
      </c>
      <c r="AO32" s="379">
        <v>1</v>
      </c>
      <c r="AP32" s="379">
        <v>1</v>
      </c>
      <c r="AQ32" s="381">
        <v>1</v>
      </c>
      <c r="AR32" s="380">
        <v>1</v>
      </c>
      <c r="AS32" s="379">
        <v>0</v>
      </c>
      <c r="AT32" s="379">
        <v>1</v>
      </c>
      <c r="AU32" s="381">
        <v>1</v>
      </c>
      <c r="AV32" s="379">
        <v>2</v>
      </c>
      <c r="AW32" s="379">
        <v>0</v>
      </c>
      <c r="AX32" s="382">
        <v>3</v>
      </c>
    </row>
    <row r="33" spans="1:50" ht="17.399999999999999" customHeight="1">
      <c r="A33" s="403">
        <v>3221</v>
      </c>
      <c r="B33" s="409" t="s">
        <v>21</v>
      </c>
      <c r="C33" s="409">
        <v>28</v>
      </c>
      <c r="D33" s="405">
        <v>2</v>
      </c>
      <c r="E33" s="410" t="s">
        <v>583</v>
      </c>
      <c r="F33" s="411" t="s">
        <v>127</v>
      </c>
      <c r="G33" s="430">
        <v>43420</v>
      </c>
      <c r="H33" s="377">
        <v>43420</v>
      </c>
      <c r="I33" s="383"/>
      <c r="J33" s="378">
        <v>1</v>
      </c>
      <c r="K33" s="378">
        <v>1.5</v>
      </c>
      <c r="L33" s="378">
        <f t="shared" si="0"/>
        <v>31</v>
      </c>
      <c r="M33" s="408">
        <f t="shared" si="1"/>
        <v>0.83783783783783783</v>
      </c>
      <c r="N33" s="378" t="s">
        <v>34</v>
      </c>
      <c r="O33" s="431">
        <v>43420</v>
      </c>
      <c r="P33" s="379">
        <v>-1</v>
      </c>
      <c r="Q33" s="380">
        <v>1</v>
      </c>
      <c r="R33" s="379">
        <v>1</v>
      </c>
      <c r="S33" s="379">
        <v>1</v>
      </c>
      <c r="T33" s="379">
        <v>1</v>
      </c>
      <c r="U33" s="379">
        <v>1</v>
      </c>
      <c r="V33" s="381">
        <v>0</v>
      </c>
      <c r="W33" s="443">
        <v>1</v>
      </c>
      <c r="X33" s="379">
        <v>1</v>
      </c>
      <c r="Y33" s="379">
        <v>1</v>
      </c>
      <c r="Z33" s="379">
        <v>1</v>
      </c>
      <c r="AA33" s="379">
        <v>1</v>
      </c>
      <c r="AB33" s="379">
        <v>1</v>
      </c>
      <c r="AC33" s="379">
        <v>1</v>
      </c>
      <c r="AD33" s="379">
        <v>1</v>
      </c>
      <c r="AE33" s="379">
        <v>1</v>
      </c>
      <c r="AF33" s="380">
        <v>1</v>
      </c>
      <c r="AG33" s="379">
        <v>1</v>
      </c>
      <c r="AH33" s="379">
        <v>1</v>
      </c>
      <c r="AI33" s="381">
        <v>1</v>
      </c>
      <c r="AJ33" s="379">
        <v>1</v>
      </c>
      <c r="AK33" s="379">
        <v>1</v>
      </c>
      <c r="AL33" s="379">
        <v>1</v>
      </c>
      <c r="AM33" s="379">
        <v>1</v>
      </c>
      <c r="AN33" s="380">
        <v>1</v>
      </c>
      <c r="AO33" s="379">
        <v>1</v>
      </c>
      <c r="AP33" s="379">
        <v>1</v>
      </c>
      <c r="AQ33" s="381">
        <v>1</v>
      </c>
      <c r="AR33" s="380">
        <v>1</v>
      </c>
      <c r="AS33" s="379">
        <v>1</v>
      </c>
      <c r="AT33" s="379">
        <v>1</v>
      </c>
      <c r="AU33" s="381">
        <v>1</v>
      </c>
      <c r="AV33" s="379">
        <v>2</v>
      </c>
      <c r="AW33" s="379">
        <v>0</v>
      </c>
      <c r="AX33" s="382">
        <v>0</v>
      </c>
    </row>
    <row r="34" spans="1:50" ht="17.399999999999999" customHeight="1">
      <c r="A34" s="403">
        <v>3222</v>
      </c>
      <c r="B34" s="409" t="s">
        <v>21</v>
      </c>
      <c r="C34" s="409">
        <v>29</v>
      </c>
      <c r="D34" s="405">
        <v>1</v>
      </c>
      <c r="E34" s="410" t="s">
        <v>584</v>
      </c>
      <c r="F34" s="411" t="s">
        <v>12</v>
      </c>
      <c r="G34" s="430">
        <v>43403</v>
      </c>
      <c r="H34" s="377">
        <v>43403</v>
      </c>
      <c r="I34" s="383"/>
      <c r="J34" s="378">
        <v>1</v>
      </c>
      <c r="K34" s="378">
        <v>1.5</v>
      </c>
      <c r="L34" s="378">
        <f t="shared" si="0"/>
        <v>26</v>
      </c>
      <c r="M34" s="408">
        <f t="shared" si="1"/>
        <v>0.70270270270270274</v>
      </c>
      <c r="N34" s="378" t="s">
        <v>32</v>
      </c>
      <c r="O34" s="431">
        <v>43410</v>
      </c>
      <c r="P34" s="379"/>
      <c r="Q34" s="380">
        <v>1</v>
      </c>
      <c r="R34" s="379">
        <v>1</v>
      </c>
      <c r="S34" s="379">
        <v>1</v>
      </c>
      <c r="T34" s="379">
        <v>1</v>
      </c>
      <c r="U34" s="379">
        <v>1</v>
      </c>
      <c r="V34" s="381">
        <v>1</v>
      </c>
      <c r="W34" s="379">
        <v>1</v>
      </c>
      <c r="X34" s="379">
        <v>1</v>
      </c>
      <c r="Y34" s="379">
        <v>1</v>
      </c>
      <c r="Z34" s="379">
        <v>1</v>
      </c>
      <c r="AA34" s="379">
        <v>1</v>
      </c>
      <c r="AB34" s="379">
        <v>1</v>
      </c>
      <c r="AC34" s="379">
        <v>1</v>
      </c>
      <c r="AD34" s="379">
        <v>1</v>
      </c>
      <c r="AE34" s="379">
        <v>1</v>
      </c>
      <c r="AF34" s="380">
        <v>1</v>
      </c>
      <c r="AG34" s="379">
        <v>1</v>
      </c>
      <c r="AH34" s="379">
        <v>1</v>
      </c>
      <c r="AI34" s="381">
        <v>1</v>
      </c>
      <c r="AJ34" s="379">
        <v>1</v>
      </c>
      <c r="AK34" s="379">
        <v>0</v>
      </c>
      <c r="AL34" s="379">
        <v>1</v>
      </c>
      <c r="AM34" s="379">
        <v>1</v>
      </c>
      <c r="AN34" s="380">
        <v>1</v>
      </c>
      <c r="AO34" s="379">
        <v>0</v>
      </c>
      <c r="AP34" s="379">
        <v>1</v>
      </c>
      <c r="AQ34" s="381">
        <v>1</v>
      </c>
      <c r="AR34" s="380">
        <v>0</v>
      </c>
      <c r="AS34" s="379">
        <v>0</v>
      </c>
      <c r="AT34" s="379">
        <v>0</v>
      </c>
      <c r="AU34" s="381">
        <v>0</v>
      </c>
      <c r="AV34" s="379">
        <v>0</v>
      </c>
      <c r="AW34" s="379">
        <v>1</v>
      </c>
      <c r="AX34" s="382">
        <v>0</v>
      </c>
    </row>
    <row r="35" spans="1:50" ht="17.399999999999999" customHeight="1">
      <c r="A35" s="403">
        <v>3350</v>
      </c>
      <c r="B35" s="409" t="s">
        <v>21</v>
      </c>
      <c r="C35" s="409">
        <v>30</v>
      </c>
      <c r="D35" s="405">
        <v>2</v>
      </c>
      <c r="E35" s="412" t="s">
        <v>59</v>
      </c>
      <c r="F35" s="413" t="s">
        <v>379</v>
      </c>
      <c r="G35" s="430">
        <v>43420</v>
      </c>
      <c r="H35" s="377">
        <v>43420</v>
      </c>
      <c r="I35" s="383"/>
      <c r="J35" s="378">
        <v>1</v>
      </c>
      <c r="K35" s="378">
        <v>1.5</v>
      </c>
      <c r="L35" s="378">
        <f t="shared" si="0"/>
        <v>16</v>
      </c>
      <c r="M35" s="408">
        <f t="shared" si="1"/>
        <v>0.43243243243243246</v>
      </c>
      <c r="N35" s="378">
        <v>2</v>
      </c>
      <c r="O35" s="431">
        <v>43420</v>
      </c>
      <c r="P35" s="379"/>
      <c r="Q35" s="380">
        <v>1</v>
      </c>
      <c r="R35" s="379">
        <v>0</v>
      </c>
      <c r="S35" s="379">
        <v>0</v>
      </c>
      <c r="T35" s="379">
        <v>0</v>
      </c>
      <c r="U35" s="379">
        <v>0</v>
      </c>
      <c r="V35" s="381">
        <v>0</v>
      </c>
      <c r="W35" s="379">
        <v>1</v>
      </c>
      <c r="X35" s="379">
        <v>1</v>
      </c>
      <c r="Y35" s="379">
        <v>0</v>
      </c>
      <c r="Z35" s="379">
        <v>0</v>
      </c>
      <c r="AA35" s="379">
        <v>0</v>
      </c>
      <c r="AB35" s="379">
        <v>0</v>
      </c>
      <c r="AC35" s="379">
        <v>0</v>
      </c>
      <c r="AD35" s="379">
        <v>1</v>
      </c>
      <c r="AE35" s="379">
        <v>0</v>
      </c>
      <c r="AF35" s="380">
        <v>0</v>
      </c>
      <c r="AG35" s="379">
        <v>0</v>
      </c>
      <c r="AH35" s="379">
        <v>0</v>
      </c>
      <c r="AI35" s="381">
        <v>0</v>
      </c>
      <c r="AJ35" s="379">
        <v>1</v>
      </c>
      <c r="AK35" s="379">
        <v>1</v>
      </c>
      <c r="AL35" s="379">
        <v>1</v>
      </c>
      <c r="AM35" s="379">
        <v>1</v>
      </c>
      <c r="AN35" s="380">
        <v>1</v>
      </c>
      <c r="AO35" s="379">
        <v>1</v>
      </c>
      <c r="AP35" s="379">
        <v>1</v>
      </c>
      <c r="AQ35" s="381">
        <v>1</v>
      </c>
      <c r="AR35" s="380">
        <v>0</v>
      </c>
      <c r="AS35" s="379">
        <v>1</v>
      </c>
      <c r="AT35" s="379">
        <v>1</v>
      </c>
      <c r="AU35" s="381">
        <v>1</v>
      </c>
      <c r="AV35" s="379">
        <v>0</v>
      </c>
      <c r="AW35" s="379">
        <v>0</v>
      </c>
      <c r="AX35" s="382">
        <v>1</v>
      </c>
    </row>
    <row r="36" spans="1:50" ht="17.399999999999999" customHeight="1">
      <c r="A36" s="403">
        <v>3223</v>
      </c>
      <c r="B36" s="409" t="s">
        <v>21</v>
      </c>
      <c r="C36" s="409">
        <v>31</v>
      </c>
      <c r="D36" s="405">
        <v>2</v>
      </c>
      <c r="E36" s="410" t="s">
        <v>413</v>
      </c>
      <c r="F36" s="411" t="s">
        <v>9</v>
      </c>
      <c r="G36" s="430">
        <v>43420</v>
      </c>
      <c r="H36" s="377">
        <v>43420</v>
      </c>
      <c r="I36" s="383"/>
      <c r="J36" s="378">
        <v>1</v>
      </c>
      <c r="K36" s="378">
        <v>1.5</v>
      </c>
      <c r="L36" s="378">
        <f t="shared" si="0"/>
        <v>23</v>
      </c>
      <c r="M36" s="408">
        <f t="shared" si="1"/>
        <v>0.6216216216216216</v>
      </c>
      <c r="N36" s="378">
        <v>3</v>
      </c>
      <c r="O36" s="431">
        <v>43420</v>
      </c>
      <c r="P36" s="379"/>
      <c r="Q36" s="380">
        <v>1</v>
      </c>
      <c r="R36" s="379">
        <v>1</v>
      </c>
      <c r="S36" s="379">
        <v>0</v>
      </c>
      <c r="T36" s="379">
        <v>1</v>
      </c>
      <c r="U36" s="379">
        <v>0</v>
      </c>
      <c r="V36" s="381">
        <v>0</v>
      </c>
      <c r="W36" s="379">
        <v>1</v>
      </c>
      <c r="X36" s="379">
        <v>1</v>
      </c>
      <c r="Y36" s="379">
        <v>0</v>
      </c>
      <c r="Z36" s="379">
        <v>1</v>
      </c>
      <c r="AA36" s="379">
        <v>1</v>
      </c>
      <c r="AB36" s="379">
        <v>1</v>
      </c>
      <c r="AC36" s="379">
        <v>0</v>
      </c>
      <c r="AD36" s="379">
        <v>1</v>
      </c>
      <c r="AE36" s="379">
        <v>0</v>
      </c>
      <c r="AF36" s="380">
        <v>1</v>
      </c>
      <c r="AG36" s="379">
        <v>1</v>
      </c>
      <c r="AH36" s="379">
        <v>0</v>
      </c>
      <c r="AI36" s="381">
        <v>0</v>
      </c>
      <c r="AJ36" s="379">
        <v>1</v>
      </c>
      <c r="AK36" s="379">
        <v>1</v>
      </c>
      <c r="AL36" s="379">
        <v>1</v>
      </c>
      <c r="AM36" s="379">
        <v>1</v>
      </c>
      <c r="AN36" s="380">
        <v>1</v>
      </c>
      <c r="AO36" s="379">
        <v>1</v>
      </c>
      <c r="AP36" s="379">
        <v>1</v>
      </c>
      <c r="AQ36" s="381">
        <v>1</v>
      </c>
      <c r="AR36" s="380">
        <v>0</v>
      </c>
      <c r="AS36" s="379">
        <v>0</v>
      </c>
      <c r="AT36" s="379">
        <v>0</v>
      </c>
      <c r="AU36" s="381">
        <v>1</v>
      </c>
      <c r="AV36" s="379">
        <v>2</v>
      </c>
      <c r="AW36" s="379">
        <v>0</v>
      </c>
      <c r="AX36" s="382">
        <v>1</v>
      </c>
    </row>
    <row r="37" spans="1:50" ht="17.399999999999999" customHeight="1">
      <c r="A37" s="403">
        <v>3224</v>
      </c>
      <c r="B37" s="404" t="s">
        <v>21</v>
      </c>
      <c r="C37" s="404">
        <v>32</v>
      </c>
      <c r="D37" s="405">
        <v>1</v>
      </c>
      <c r="E37" s="406" t="s">
        <v>1</v>
      </c>
      <c r="F37" s="407" t="s">
        <v>19</v>
      </c>
      <c r="G37" s="430">
        <v>43403</v>
      </c>
      <c r="H37" s="377">
        <v>43403</v>
      </c>
      <c r="I37" s="383"/>
      <c r="J37" s="378">
        <v>1</v>
      </c>
      <c r="K37" s="378">
        <v>1.5</v>
      </c>
      <c r="L37" s="378">
        <f t="shared" si="0"/>
        <v>37</v>
      </c>
      <c r="M37" s="408">
        <f t="shared" si="1"/>
        <v>1</v>
      </c>
      <c r="N37" s="378">
        <v>6</v>
      </c>
      <c r="O37" s="431">
        <v>43410</v>
      </c>
      <c r="P37" s="379"/>
      <c r="Q37" s="380">
        <v>1</v>
      </c>
      <c r="R37" s="379">
        <v>1</v>
      </c>
      <c r="S37" s="379">
        <v>1</v>
      </c>
      <c r="T37" s="379">
        <v>1</v>
      </c>
      <c r="U37" s="379">
        <v>1</v>
      </c>
      <c r="V37" s="381">
        <v>1</v>
      </c>
      <c r="W37" s="379">
        <v>1</v>
      </c>
      <c r="X37" s="379">
        <v>1</v>
      </c>
      <c r="Y37" s="379">
        <v>1</v>
      </c>
      <c r="Z37" s="379">
        <v>1</v>
      </c>
      <c r="AA37" s="379">
        <v>1</v>
      </c>
      <c r="AB37" s="379">
        <v>1</v>
      </c>
      <c r="AC37" s="379">
        <v>1</v>
      </c>
      <c r="AD37" s="379">
        <v>1</v>
      </c>
      <c r="AE37" s="379">
        <v>1</v>
      </c>
      <c r="AF37" s="380">
        <v>1</v>
      </c>
      <c r="AG37" s="379">
        <v>1</v>
      </c>
      <c r="AH37" s="379">
        <v>1</v>
      </c>
      <c r="AI37" s="381">
        <v>1</v>
      </c>
      <c r="AJ37" s="379">
        <v>1</v>
      </c>
      <c r="AK37" s="379">
        <v>1</v>
      </c>
      <c r="AL37" s="379">
        <v>1</v>
      </c>
      <c r="AM37" s="379">
        <v>1</v>
      </c>
      <c r="AN37" s="380">
        <v>1</v>
      </c>
      <c r="AO37" s="379">
        <v>1</v>
      </c>
      <c r="AP37" s="379">
        <v>1</v>
      </c>
      <c r="AQ37" s="381">
        <v>1</v>
      </c>
      <c r="AR37" s="380">
        <v>1</v>
      </c>
      <c r="AS37" s="379">
        <v>1</v>
      </c>
      <c r="AT37" s="379">
        <v>1</v>
      </c>
      <c r="AU37" s="381">
        <v>1</v>
      </c>
      <c r="AV37" s="379">
        <v>2</v>
      </c>
      <c r="AW37" s="379">
        <v>1</v>
      </c>
      <c r="AX37" s="382">
        <v>3</v>
      </c>
    </row>
    <row r="38" spans="1:50" ht="17.399999999999999" customHeight="1">
      <c r="A38" s="403">
        <v>3225</v>
      </c>
      <c r="B38" s="409" t="s">
        <v>21</v>
      </c>
      <c r="C38" s="409">
        <v>33</v>
      </c>
      <c r="D38" s="405">
        <v>2</v>
      </c>
      <c r="E38" s="410" t="s">
        <v>585</v>
      </c>
      <c r="F38" s="411" t="s">
        <v>186</v>
      </c>
      <c r="G38" s="430">
        <v>43420</v>
      </c>
      <c r="H38" s="377">
        <v>43420</v>
      </c>
      <c r="I38" s="383"/>
      <c r="J38" s="378">
        <v>1</v>
      </c>
      <c r="K38" s="378">
        <v>1.5</v>
      </c>
      <c r="L38" s="378">
        <f t="shared" si="0"/>
        <v>27</v>
      </c>
      <c r="M38" s="408">
        <f t="shared" si="1"/>
        <v>0.72972972972972971</v>
      </c>
      <c r="N38" s="378" t="s">
        <v>30</v>
      </c>
      <c r="O38" s="431">
        <v>43420</v>
      </c>
      <c r="P38" s="379"/>
      <c r="Q38" s="380">
        <v>1</v>
      </c>
      <c r="R38" s="379">
        <v>1</v>
      </c>
      <c r="S38" s="379">
        <v>1</v>
      </c>
      <c r="T38" s="379">
        <v>1</v>
      </c>
      <c r="U38" s="379">
        <v>0</v>
      </c>
      <c r="V38" s="381">
        <v>0</v>
      </c>
      <c r="W38" s="379">
        <v>1</v>
      </c>
      <c r="X38" s="379">
        <v>1</v>
      </c>
      <c r="Y38" s="379">
        <v>1</v>
      </c>
      <c r="Z38" s="379">
        <v>1</v>
      </c>
      <c r="AA38" s="379">
        <v>1</v>
      </c>
      <c r="AB38" s="379">
        <v>1</v>
      </c>
      <c r="AC38" s="379">
        <v>1</v>
      </c>
      <c r="AD38" s="379">
        <v>1</v>
      </c>
      <c r="AE38" s="379">
        <v>1</v>
      </c>
      <c r="AF38" s="380">
        <v>1</v>
      </c>
      <c r="AG38" s="379">
        <v>1</v>
      </c>
      <c r="AH38" s="379">
        <v>1</v>
      </c>
      <c r="AI38" s="381">
        <v>1</v>
      </c>
      <c r="AJ38" s="379">
        <v>1</v>
      </c>
      <c r="AK38" s="379">
        <v>1</v>
      </c>
      <c r="AL38" s="379">
        <v>0</v>
      </c>
      <c r="AM38" s="379">
        <v>1</v>
      </c>
      <c r="AN38" s="380">
        <v>1</v>
      </c>
      <c r="AO38" s="379">
        <v>1</v>
      </c>
      <c r="AP38" s="379">
        <v>1</v>
      </c>
      <c r="AQ38" s="381">
        <v>1</v>
      </c>
      <c r="AR38" s="380">
        <v>0</v>
      </c>
      <c r="AS38" s="379">
        <v>0</v>
      </c>
      <c r="AT38" s="379">
        <v>0</v>
      </c>
      <c r="AU38" s="381">
        <v>0</v>
      </c>
      <c r="AV38" s="379">
        <v>2</v>
      </c>
      <c r="AW38" s="379">
        <v>0</v>
      </c>
      <c r="AX38" s="382">
        <v>1</v>
      </c>
    </row>
    <row r="39" spans="1:50" ht="17.399999999999999" customHeight="1">
      <c r="A39" s="403">
        <v>3226</v>
      </c>
      <c r="B39" s="404" t="s">
        <v>21</v>
      </c>
      <c r="C39" s="404">
        <v>34</v>
      </c>
      <c r="D39" s="405">
        <v>1</v>
      </c>
      <c r="E39" s="406" t="s">
        <v>586</v>
      </c>
      <c r="F39" s="407" t="s">
        <v>353</v>
      </c>
      <c r="G39" s="430">
        <v>43403</v>
      </c>
      <c r="H39" s="377">
        <v>43403</v>
      </c>
      <c r="I39" s="383"/>
      <c r="J39" s="378">
        <v>1</v>
      </c>
      <c r="K39" s="378">
        <v>1.5</v>
      </c>
      <c r="L39" s="378">
        <f t="shared" si="0"/>
        <v>35</v>
      </c>
      <c r="M39" s="408">
        <f t="shared" si="1"/>
        <v>0.94594594594594594</v>
      </c>
      <c r="N39" s="378">
        <v>5</v>
      </c>
      <c r="O39" s="431">
        <v>43410</v>
      </c>
      <c r="P39" s="379">
        <v>-1</v>
      </c>
      <c r="Q39" s="380">
        <v>1</v>
      </c>
      <c r="R39" s="379">
        <v>1</v>
      </c>
      <c r="S39" s="379">
        <v>1</v>
      </c>
      <c r="T39" s="379">
        <v>1</v>
      </c>
      <c r="U39" s="379">
        <v>1</v>
      </c>
      <c r="V39" s="381">
        <v>1</v>
      </c>
      <c r="W39" s="379">
        <v>1</v>
      </c>
      <c r="X39" s="379">
        <v>1</v>
      </c>
      <c r="Y39" s="379">
        <v>1</v>
      </c>
      <c r="Z39" s="379">
        <v>1</v>
      </c>
      <c r="AA39" s="379">
        <v>1</v>
      </c>
      <c r="AB39" s="379">
        <v>1</v>
      </c>
      <c r="AC39" s="379">
        <v>1</v>
      </c>
      <c r="AD39" s="379">
        <v>1</v>
      </c>
      <c r="AE39" s="379">
        <v>1</v>
      </c>
      <c r="AF39" s="380">
        <v>1</v>
      </c>
      <c r="AG39" s="379">
        <v>1</v>
      </c>
      <c r="AH39" s="379">
        <v>1</v>
      </c>
      <c r="AI39" s="381">
        <v>1</v>
      </c>
      <c r="AJ39" s="379">
        <v>1</v>
      </c>
      <c r="AK39" s="379">
        <v>1</v>
      </c>
      <c r="AL39" s="379">
        <v>1</v>
      </c>
      <c r="AM39" s="379">
        <v>1</v>
      </c>
      <c r="AN39" s="380">
        <v>1</v>
      </c>
      <c r="AO39" s="379">
        <v>1</v>
      </c>
      <c r="AP39" s="379">
        <v>1</v>
      </c>
      <c r="AQ39" s="381">
        <v>1</v>
      </c>
      <c r="AR39" s="380">
        <v>1</v>
      </c>
      <c r="AS39" s="379">
        <v>1</v>
      </c>
      <c r="AT39" s="379">
        <v>1</v>
      </c>
      <c r="AU39" s="381">
        <v>1</v>
      </c>
      <c r="AV39" s="379">
        <v>1</v>
      </c>
      <c r="AW39" s="379">
        <v>1</v>
      </c>
      <c r="AX39" s="382">
        <v>3</v>
      </c>
    </row>
    <row r="40" spans="1:50" ht="17.399999999999999" customHeight="1">
      <c r="A40" s="403">
        <v>3227</v>
      </c>
      <c r="B40" s="409" t="s">
        <v>21</v>
      </c>
      <c r="C40" s="409">
        <v>35</v>
      </c>
      <c r="D40" s="405">
        <v>2</v>
      </c>
      <c r="E40" s="410" t="s">
        <v>587</v>
      </c>
      <c r="F40" s="411" t="s">
        <v>40</v>
      </c>
      <c r="G40" s="430">
        <v>43420</v>
      </c>
      <c r="H40" s="377">
        <v>43420</v>
      </c>
      <c r="I40" s="383"/>
      <c r="J40" s="378">
        <v>1</v>
      </c>
      <c r="K40" s="378">
        <v>1.5</v>
      </c>
      <c r="L40" s="378">
        <f t="shared" si="0"/>
        <v>17</v>
      </c>
      <c r="M40" s="408">
        <f t="shared" si="1"/>
        <v>0.45945945945945948</v>
      </c>
      <c r="N40" s="378">
        <v>2</v>
      </c>
      <c r="O40" s="431">
        <v>43420</v>
      </c>
      <c r="P40" s="379"/>
      <c r="Q40" s="380">
        <v>1</v>
      </c>
      <c r="R40" s="379">
        <v>1</v>
      </c>
      <c r="S40" s="379">
        <v>1</v>
      </c>
      <c r="T40" s="379">
        <v>1</v>
      </c>
      <c r="U40" s="379">
        <v>0</v>
      </c>
      <c r="V40" s="381">
        <v>0</v>
      </c>
      <c r="W40" s="379">
        <v>1</v>
      </c>
      <c r="X40" s="379">
        <v>1</v>
      </c>
      <c r="Y40" s="379">
        <v>0</v>
      </c>
      <c r="Z40" s="379">
        <v>0</v>
      </c>
      <c r="AA40" s="379">
        <v>1</v>
      </c>
      <c r="AB40" s="379">
        <v>0</v>
      </c>
      <c r="AC40" s="379">
        <v>0</v>
      </c>
      <c r="AD40" s="379">
        <v>1</v>
      </c>
      <c r="AE40" s="379">
        <v>0</v>
      </c>
      <c r="AF40" s="380">
        <v>0</v>
      </c>
      <c r="AG40" s="379">
        <v>0</v>
      </c>
      <c r="AH40" s="379">
        <v>0</v>
      </c>
      <c r="AI40" s="381">
        <v>0</v>
      </c>
      <c r="AJ40" s="379">
        <v>1</v>
      </c>
      <c r="AK40" s="379">
        <v>1</v>
      </c>
      <c r="AL40" s="379">
        <v>0</v>
      </c>
      <c r="AM40" s="379">
        <v>1</v>
      </c>
      <c r="AN40" s="380">
        <v>1</v>
      </c>
      <c r="AO40" s="379">
        <v>1</v>
      </c>
      <c r="AP40" s="379">
        <v>1</v>
      </c>
      <c r="AQ40" s="381">
        <v>1</v>
      </c>
      <c r="AR40" s="380">
        <v>0</v>
      </c>
      <c r="AS40" s="379">
        <v>1</v>
      </c>
      <c r="AT40" s="379">
        <v>0</v>
      </c>
      <c r="AU40" s="381">
        <v>1</v>
      </c>
      <c r="AV40" s="379">
        <v>0</v>
      </c>
      <c r="AW40" s="379">
        <v>0</v>
      </c>
      <c r="AX40" s="382">
        <v>0</v>
      </c>
    </row>
    <row r="41" spans="1:50" ht="17.399999999999999" customHeight="1">
      <c r="A41" s="403">
        <v>3228</v>
      </c>
      <c r="B41" s="404" t="s">
        <v>21</v>
      </c>
      <c r="C41" s="404">
        <v>36</v>
      </c>
      <c r="D41" s="405">
        <v>1</v>
      </c>
      <c r="E41" s="406" t="s">
        <v>588</v>
      </c>
      <c r="F41" s="407" t="s">
        <v>683</v>
      </c>
      <c r="G41" s="430">
        <v>43431</v>
      </c>
      <c r="H41" s="377">
        <v>43431</v>
      </c>
      <c r="I41" s="383"/>
      <c r="J41" s="378">
        <v>1</v>
      </c>
      <c r="K41" s="378">
        <v>1.5</v>
      </c>
      <c r="L41" s="378">
        <f t="shared" si="0"/>
        <v>33</v>
      </c>
      <c r="M41" s="408">
        <f t="shared" si="1"/>
        <v>0.89189189189189189</v>
      </c>
      <c r="N41" s="378">
        <v>5</v>
      </c>
      <c r="O41" s="431">
        <v>43437</v>
      </c>
      <c r="P41" s="379"/>
      <c r="Q41" s="380">
        <v>1</v>
      </c>
      <c r="R41" s="379">
        <v>1</v>
      </c>
      <c r="S41" s="379">
        <v>1</v>
      </c>
      <c r="T41" s="379">
        <v>1</v>
      </c>
      <c r="U41" s="379">
        <v>1</v>
      </c>
      <c r="V41" s="381">
        <v>0</v>
      </c>
      <c r="W41" s="379">
        <v>1</v>
      </c>
      <c r="X41" s="379">
        <v>1</v>
      </c>
      <c r="Y41" s="379">
        <v>0</v>
      </c>
      <c r="Z41" s="379">
        <v>1</v>
      </c>
      <c r="AA41" s="379">
        <v>1</v>
      </c>
      <c r="AB41" s="379">
        <v>1</v>
      </c>
      <c r="AC41" s="379">
        <v>1</v>
      </c>
      <c r="AD41" s="379">
        <v>1</v>
      </c>
      <c r="AE41" s="379">
        <v>1</v>
      </c>
      <c r="AF41" s="380">
        <v>1</v>
      </c>
      <c r="AG41" s="379">
        <v>1</v>
      </c>
      <c r="AH41" s="379">
        <v>1</v>
      </c>
      <c r="AI41" s="381">
        <v>1</v>
      </c>
      <c r="AJ41" s="379">
        <v>1</v>
      </c>
      <c r="AK41" s="379">
        <v>1</v>
      </c>
      <c r="AL41" s="379">
        <v>1</v>
      </c>
      <c r="AM41" s="379">
        <v>1</v>
      </c>
      <c r="AN41" s="380">
        <v>1</v>
      </c>
      <c r="AO41" s="379">
        <v>1</v>
      </c>
      <c r="AP41" s="379">
        <v>1</v>
      </c>
      <c r="AQ41" s="381">
        <v>1</v>
      </c>
      <c r="AR41" s="380">
        <v>1</v>
      </c>
      <c r="AS41" s="379">
        <v>1</v>
      </c>
      <c r="AT41" s="379">
        <v>0</v>
      </c>
      <c r="AU41" s="381">
        <v>0</v>
      </c>
      <c r="AV41" s="379">
        <v>2</v>
      </c>
      <c r="AW41" s="379">
        <v>1</v>
      </c>
      <c r="AX41" s="382">
        <v>3</v>
      </c>
    </row>
    <row r="42" spans="1:50" ht="17.399999999999999" customHeight="1">
      <c r="A42" s="403">
        <v>3229</v>
      </c>
      <c r="B42" s="409" t="s">
        <v>21</v>
      </c>
      <c r="C42" s="409">
        <v>37</v>
      </c>
      <c r="D42" s="405">
        <v>2</v>
      </c>
      <c r="E42" s="410" t="s">
        <v>589</v>
      </c>
      <c r="F42" s="411" t="s">
        <v>679</v>
      </c>
      <c r="G42" s="430">
        <v>43420</v>
      </c>
      <c r="H42" s="377">
        <v>43420</v>
      </c>
      <c r="I42" s="383"/>
      <c r="J42" s="378">
        <v>1</v>
      </c>
      <c r="K42" s="378">
        <v>1.5</v>
      </c>
      <c r="L42" s="378">
        <f t="shared" si="0"/>
        <v>33</v>
      </c>
      <c r="M42" s="408">
        <f t="shared" si="1"/>
        <v>0.89189189189189189</v>
      </c>
      <c r="N42" s="378">
        <v>5</v>
      </c>
      <c r="O42" s="431">
        <v>43420</v>
      </c>
      <c r="P42" s="379"/>
      <c r="Q42" s="380">
        <v>1</v>
      </c>
      <c r="R42" s="379">
        <v>1</v>
      </c>
      <c r="S42" s="379">
        <v>1</v>
      </c>
      <c r="T42" s="379">
        <v>1</v>
      </c>
      <c r="U42" s="379">
        <v>1</v>
      </c>
      <c r="V42" s="381">
        <v>1</v>
      </c>
      <c r="W42" s="379">
        <v>1</v>
      </c>
      <c r="X42" s="379">
        <v>1</v>
      </c>
      <c r="Y42" s="379">
        <v>1</v>
      </c>
      <c r="Z42" s="379">
        <v>1</v>
      </c>
      <c r="AA42" s="379">
        <v>1</v>
      </c>
      <c r="AB42" s="379">
        <v>1</v>
      </c>
      <c r="AC42" s="379">
        <v>1</v>
      </c>
      <c r="AD42" s="379">
        <v>1</v>
      </c>
      <c r="AE42" s="379">
        <v>1</v>
      </c>
      <c r="AF42" s="380">
        <v>1</v>
      </c>
      <c r="AG42" s="379">
        <v>1</v>
      </c>
      <c r="AH42" s="379">
        <v>0</v>
      </c>
      <c r="AI42" s="381">
        <v>0</v>
      </c>
      <c r="AJ42" s="379">
        <v>1</v>
      </c>
      <c r="AK42" s="379">
        <v>1</v>
      </c>
      <c r="AL42" s="379">
        <v>1</v>
      </c>
      <c r="AM42" s="379">
        <v>1</v>
      </c>
      <c r="AN42" s="380">
        <v>1</v>
      </c>
      <c r="AO42" s="379">
        <v>1</v>
      </c>
      <c r="AP42" s="379">
        <v>1</v>
      </c>
      <c r="AQ42" s="381">
        <v>1</v>
      </c>
      <c r="AR42" s="380">
        <v>1</v>
      </c>
      <c r="AS42" s="379">
        <v>1</v>
      </c>
      <c r="AT42" s="379">
        <v>0</v>
      </c>
      <c r="AU42" s="381">
        <v>1</v>
      </c>
      <c r="AV42" s="379">
        <v>2</v>
      </c>
      <c r="AW42" s="379">
        <v>0</v>
      </c>
      <c r="AX42" s="382">
        <v>3</v>
      </c>
    </row>
    <row r="43" spans="1:50" ht="17.399999999999999" customHeight="1">
      <c r="A43" s="403">
        <v>3230</v>
      </c>
      <c r="B43" s="404" t="s">
        <v>21</v>
      </c>
      <c r="C43" s="404">
        <v>38</v>
      </c>
      <c r="D43" s="405">
        <v>3</v>
      </c>
      <c r="E43" s="406" t="s">
        <v>417</v>
      </c>
      <c r="F43" s="407" t="s">
        <v>682</v>
      </c>
      <c r="G43" s="430">
        <v>43402</v>
      </c>
      <c r="H43" s="377">
        <v>43402</v>
      </c>
      <c r="I43" s="383"/>
      <c r="J43" s="378">
        <v>1</v>
      </c>
      <c r="K43" s="378">
        <v>1.5</v>
      </c>
      <c r="L43" s="378">
        <f t="shared" si="0"/>
        <v>37</v>
      </c>
      <c r="M43" s="408">
        <f t="shared" si="1"/>
        <v>1</v>
      </c>
      <c r="N43" s="378">
        <v>6</v>
      </c>
      <c r="O43" s="431">
        <v>43409</v>
      </c>
      <c r="P43" s="379"/>
      <c r="Q43" s="380">
        <v>1</v>
      </c>
      <c r="R43" s="379">
        <v>1</v>
      </c>
      <c r="S43" s="379">
        <v>1</v>
      </c>
      <c r="T43" s="379">
        <v>1</v>
      </c>
      <c r="U43" s="379">
        <v>1</v>
      </c>
      <c r="V43" s="381">
        <v>1</v>
      </c>
      <c r="W43" s="379">
        <v>1</v>
      </c>
      <c r="X43" s="379">
        <v>1</v>
      </c>
      <c r="Y43" s="379">
        <v>1</v>
      </c>
      <c r="Z43" s="379">
        <v>1</v>
      </c>
      <c r="AA43" s="379">
        <v>1</v>
      </c>
      <c r="AB43" s="379">
        <v>1</v>
      </c>
      <c r="AC43" s="379">
        <v>1</v>
      </c>
      <c r="AD43" s="379">
        <v>1</v>
      </c>
      <c r="AE43" s="379">
        <v>1</v>
      </c>
      <c r="AF43" s="380">
        <v>1</v>
      </c>
      <c r="AG43" s="379">
        <v>1</v>
      </c>
      <c r="AH43" s="379">
        <v>1</v>
      </c>
      <c r="AI43" s="381">
        <v>1</v>
      </c>
      <c r="AJ43" s="379">
        <v>1</v>
      </c>
      <c r="AK43" s="379">
        <v>1</v>
      </c>
      <c r="AL43" s="379">
        <v>1</v>
      </c>
      <c r="AM43" s="379">
        <v>1</v>
      </c>
      <c r="AN43" s="380">
        <v>1</v>
      </c>
      <c r="AO43" s="379">
        <v>1</v>
      </c>
      <c r="AP43" s="379">
        <v>1</v>
      </c>
      <c r="AQ43" s="381">
        <v>1</v>
      </c>
      <c r="AR43" s="380">
        <v>1</v>
      </c>
      <c r="AS43" s="379">
        <v>1</v>
      </c>
      <c r="AT43" s="379">
        <v>1</v>
      </c>
      <c r="AU43" s="381">
        <v>1</v>
      </c>
      <c r="AV43" s="379">
        <v>2</v>
      </c>
      <c r="AW43" s="379">
        <v>1</v>
      </c>
      <c r="AX43" s="382">
        <v>3</v>
      </c>
    </row>
    <row r="44" spans="1:50" ht="17.399999999999999" customHeight="1">
      <c r="A44" s="403">
        <v>3231</v>
      </c>
      <c r="B44" s="404" t="s">
        <v>21</v>
      </c>
      <c r="C44" s="404">
        <v>39</v>
      </c>
      <c r="D44" s="405">
        <v>3</v>
      </c>
      <c r="E44" s="406" t="s">
        <v>590</v>
      </c>
      <c r="F44" s="407" t="s">
        <v>686</v>
      </c>
      <c r="G44" s="430">
        <v>43409</v>
      </c>
      <c r="H44" s="377">
        <v>43409</v>
      </c>
      <c r="I44" s="383"/>
      <c r="J44" s="378">
        <v>1</v>
      </c>
      <c r="K44" s="378">
        <v>1.5</v>
      </c>
      <c r="L44" s="378">
        <f t="shared" si="0"/>
        <v>32</v>
      </c>
      <c r="M44" s="408">
        <f t="shared" si="1"/>
        <v>0.86486486486486491</v>
      </c>
      <c r="N44" s="378" t="s">
        <v>33</v>
      </c>
      <c r="O44" s="431">
        <v>43409</v>
      </c>
      <c r="P44" s="379">
        <v>-1</v>
      </c>
      <c r="Q44" s="380">
        <v>1</v>
      </c>
      <c r="R44" s="379">
        <v>1</v>
      </c>
      <c r="S44" s="379">
        <v>1</v>
      </c>
      <c r="T44" s="379">
        <v>1</v>
      </c>
      <c r="U44" s="379">
        <v>1</v>
      </c>
      <c r="V44" s="381">
        <v>1</v>
      </c>
      <c r="W44" s="379">
        <v>1</v>
      </c>
      <c r="X44" s="379">
        <v>1</v>
      </c>
      <c r="Y44" s="379">
        <v>1</v>
      </c>
      <c r="Z44" s="379">
        <v>1</v>
      </c>
      <c r="AA44" s="379">
        <v>1</v>
      </c>
      <c r="AB44" s="379">
        <v>1</v>
      </c>
      <c r="AC44" s="379">
        <v>1</v>
      </c>
      <c r="AD44" s="379">
        <v>1</v>
      </c>
      <c r="AE44" s="379">
        <v>1</v>
      </c>
      <c r="AF44" s="380">
        <v>1</v>
      </c>
      <c r="AG44" s="379">
        <v>1</v>
      </c>
      <c r="AH44" s="379">
        <v>1</v>
      </c>
      <c r="AI44" s="381">
        <v>1</v>
      </c>
      <c r="AJ44" s="379">
        <v>1</v>
      </c>
      <c r="AK44" s="379">
        <v>1</v>
      </c>
      <c r="AL44" s="379">
        <v>1</v>
      </c>
      <c r="AM44" s="379">
        <v>1</v>
      </c>
      <c r="AN44" s="380">
        <v>1</v>
      </c>
      <c r="AO44" s="379">
        <v>1</v>
      </c>
      <c r="AP44" s="379">
        <v>1</v>
      </c>
      <c r="AQ44" s="381">
        <v>1</v>
      </c>
      <c r="AR44" s="380">
        <v>0</v>
      </c>
      <c r="AS44" s="379">
        <v>1</v>
      </c>
      <c r="AT44" s="379">
        <v>1</v>
      </c>
      <c r="AU44" s="381">
        <v>1</v>
      </c>
      <c r="AV44" s="379">
        <v>2</v>
      </c>
      <c r="AW44" s="379">
        <v>1</v>
      </c>
      <c r="AX44" s="382">
        <v>0</v>
      </c>
    </row>
    <row r="45" spans="1:50" ht="17.399999999999999" customHeight="1">
      <c r="A45" s="403">
        <v>3232</v>
      </c>
      <c r="B45" s="404" t="s">
        <v>21</v>
      </c>
      <c r="C45" s="404">
        <v>40</v>
      </c>
      <c r="D45" s="405">
        <v>1</v>
      </c>
      <c r="E45" s="406" t="s">
        <v>591</v>
      </c>
      <c r="F45" s="407" t="s">
        <v>687</v>
      </c>
      <c r="G45" s="430">
        <v>43403</v>
      </c>
      <c r="H45" s="377">
        <v>43403</v>
      </c>
      <c r="I45" s="383"/>
      <c r="J45" s="378">
        <v>1</v>
      </c>
      <c r="K45" s="378">
        <v>1.5</v>
      </c>
      <c r="L45" s="378">
        <f t="shared" si="0"/>
        <v>36</v>
      </c>
      <c r="M45" s="408">
        <f t="shared" si="1"/>
        <v>0.97297297297297303</v>
      </c>
      <c r="N45" s="378" t="s">
        <v>36</v>
      </c>
      <c r="O45" s="431">
        <v>43410</v>
      </c>
      <c r="P45" s="379"/>
      <c r="Q45" s="380">
        <v>1</v>
      </c>
      <c r="R45" s="379">
        <v>1</v>
      </c>
      <c r="S45" s="379">
        <v>1</v>
      </c>
      <c r="T45" s="379">
        <v>1</v>
      </c>
      <c r="U45" s="379">
        <v>1</v>
      </c>
      <c r="V45" s="381">
        <v>1</v>
      </c>
      <c r="W45" s="379">
        <v>1</v>
      </c>
      <c r="X45" s="379">
        <v>1</v>
      </c>
      <c r="Y45" s="379">
        <v>1</v>
      </c>
      <c r="Z45" s="379">
        <v>1</v>
      </c>
      <c r="AA45" s="379">
        <v>1</v>
      </c>
      <c r="AB45" s="379">
        <v>1</v>
      </c>
      <c r="AC45" s="379">
        <v>1</v>
      </c>
      <c r="AD45" s="379">
        <v>1</v>
      </c>
      <c r="AE45" s="379">
        <v>1</v>
      </c>
      <c r="AF45" s="380">
        <v>1</v>
      </c>
      <c r="AG45" s="379">
        <v>1</v>
      </c>
      <c r="AH45" s="379">
        <v>1</v>
      </c>
      <c r="AI45" s="381">
        <v>1</v>
      </c>
      <c r="AJ45" s="379">
        <v>1</v>
      </c>
      <c r="AK45" s="379">
        <v>1</v>
      </c>
      <c r="AL45" s="379">
        <v>1</v>
      </c>
      <c r="AM45" s="379">
        <v>1</v>
      </c>
      <c r="AN45" s="380">
        <v>1</v>
      </c>
      <c r="AO45" s="379">
        <v>1</v>
      </c>
      <c r="AP45" s="379">
        <v>1</v>
      </c>
      <c r="AQ45" s="381">
        <v>1</v>
      </c>
      <c r="AR45" s="380">
        <v>1</v>
      </c>
      <c r="AS45" s="379">
        <v>1</v>
      </c>
      <c r="AT45" s="379">
        <v>1</v>
      </c>
      <c r="AU45" s="381">
        <v>1</v>
      </c>
      <c r="AV45" s="379">
        <v>2</v>
      </c>
      <c r="AW45" s="379">
        <v>0</v>
      </c>
      <c r="AX45" s="382">
        <v>3</v>
      </c>
    </row>
    <row r="46" spans="1:50" ht="17.399999999999999" customHeight="1" thickBot="1">
      <c r="A46" s="414">
        <v>3233</v>
      </c>
      <c r="B46" s="415" t="s">
        <v>21</v>
      </c>
      <c r="C46" s="415">
        <v>41</v>
      </c>
      <c r="D46" s="416">
        <v>3</v>
      </c>
      <c r="E46" s="417" t="s">
        <v>592</v>
      </c>
      <c r="F46" s="418" t="s">
        <v>593</v>
      </c>
      <c r="G46" s="432">
        <v>43402</v>
      </c>
      <c r="H46" s="388">
        <v>43402</v>
      </c>
      <c r="I46" s="389"/>
      <c r="J46" s="390">
        <v>1</v>
      </c>
      <c r="K46" s="390">
        <v>1.5</v>
      </c>
      <c r="L46" s="390">
        <f t="shared" si="0"/>
        <v>31</v>
      </c>
      <c r="M46" s="419">
        <f t="shared" si="1"/>
        <v>0.83783783783783783</v>
      </c>
      <c r="N46" s="390" t="s">
        <v>34</v>
      </c>
      <c r="O46" s="433">
        <v>43409</v>
      </c>
      <c r="P46" s="384"/>
      <c r="Q46" s="385">
        <v>1</v>
      </c>
      <c r="R46" s="384">
        <v>1</v>
      </c>
      <c r="S46" s="384">
        <v>1</v>
      </c>
      <c r="T46" s="384">
        <v>1</v>
      </c>
      <c r="U46" s="384">
        <v>1</v>
      </c>
      <c r="V46" s="386">
        <v>0</v>
      </c>
      <c r="W46" s="384">
        <v>1</v>
      </c>
      <c r="X46" s="384">
        <v>1</v>
      </c>
      <c r="Y46" s="384">
        <v>0</v>
      </c>
      <c r="Z46" s="384">
        <v>1</v>
      </c>
      <c r="AA46" s="384">
        <v>1</v>
      </c>
      <c r="AB46" s="384">
        <v>1</v>
      </c>
      <c r="AC46" s="384">
        <v>1</v>
      </c>
      <c r="AD46" s="384">
        <v>1</v>
      </c>
      <c r="AE46" s="384">
        <v>1</v>
      </c>
      <c r="AF46" s="385">
        <v>1</v>
      </c>
      <c r="AG46" s="384">
        <v>1</v>
      </c>
      <c r="AH46" s="384">
        <v>0</v>
      </c>
      <c r="AI46" s="386">
        <v>0</v>
      </c>
      <c r="AJ46" s="384">
        <v>1</v>
      </c>
      <c r="AK46" s="384">
        <v>1</v>
      </c>
      <c r="AL46" s="384">
        <v>1</v>
      </c>
      <c r="AM46" s="384">
        <v>1</v>
      </c>
      <c r="AN46" s="385">
        <v>1</v>
      </c>
      <c r="AO46" s="384">
        <v>1</v>
      </c>
      <c r="AP46" s="384">
        <v>1</v>
      </c>
      <c r="AQ46" s="386">
        <v>1</v>
      </c>
      <c r="AR46" s="385">
        <v>1</v>
      </c>
      <c r="AS46" s="384">
        <v>1</v>
      </c>
      <c r="AT46" s="384">
        <v>1</v>
      </c>
      <c r="AU46" s="386">
        <v>1</v>
      </c>
      <c r="AV46" s="384">
        <v>2</v>
      </c>
      <c r="AW46" s="384">
        <v>1</v>
      </c>
      <c r="AX46" s="387">
        <v>1</v>
      </c>
    </row>
    <row r="47" spans="1:50" ht="17.399999999999999" customHeight="1" thickTop="1">
      <c r="A47" s="398">
        <v>3234</v>
      </c>
      <c r="B47" s="399" t="s">
        <v>22</v>
      </c>
      <c r="C47" s="399">
        <v>1</v>
      </c>
      <c r="D47" s="400">
        <v>4</v>
      </c>
      <c r="E47" s="401" t="s">
        <v>420</v>
      </c>
      <c r="F47" s="402" t="s">
        <v>594</v>
      </c>
      <c r="G47" s="428">
        <v>43409</v>
      </c>
      <c r="H47" s="370">
        <v>43409</v>
      </c>
      <c r="I47" s="391"/>
      <c r="J47" s="371">
        <v>1</v>
      </c>
      <c r="K47" s="371">
        <v>1.5</v>
      </c>
      <c r="L47" s="371">
        <f t="shared" si="0"/>
        <v>34</v>
      </c>
      <c r="M47" s="372">
        <f t="shared" si="1"/>
        <v>0.91891891891891897</v>
      </c>
      <c r="N47" s="371">
        <v>5</v>
      </c>
      <c r="O47" s="429">
        <v>43410</v>
      </c>
      <c r="P47" s="373"/>
      <c r="Q47" s="374">
        <v>1</v>
      </c>
      <c r="R47" s="373">
        <v>1</v>
      </c>
      <c r="S47" s="373">
        <v>1</v>
      </c>
      <c r="T47" s="373">
        <v>1</v>
      </c>
      <c r="U47" s="373">
        <v>1</v>
      </c>
      <c r="V47" s="375">
        <v>1</v>
      </c>
      <c r="W47" s="373">
        <v>1</v>
      </c>
      <c r="X47" s="373">
        <v>1</v>
      </c>
      <c r="Y47" s="373">
        <v>1</v>
      </c>
      <c r="Z47" s="373">
        <v>1</v>
      </c>
      <c r="AA47" s="373">
        <v>0</v>
      </c>
      <c r="AB47" s="373">
        <v>1</v>
      </c>
      <c r="AC47" s="373">
        <v>1</v>
      </c>
      <c r="AD47" s="373">
        <v>1</v>
      </c>
      <c r="AE47" s="373">
        <v>1</v>
      </c>
      <c r="AF47" s="374">
        <v>1</v>
      </c>
      <c r="AG47" s="373">
        <v>1</v>
      </c>
      <c r="AH47" s="373">
        <v>1</v>
      </c>
      <c r="AI47" s="375">
        <v>1</v>
      </c>
      <c r="AJ47" s="373">
        <v>1</v>
      </c>
      <c r="AK47" s="373">
        <v>1</v>
      </c>
      <c r="AL47" s="373">
        <v>1</v>
      </c>
      <c r="AM47" s="373">
        <v>1</v>
      </c>
      <c r="AN47" s="374">
        <v>1</v>
      </c>
      <c r="AO47" s="373">
        <v>0</v>
      </c>
      <c r="AP47" s="373">
        <v>1</v>
      </c>
      <c r="AQ47" s="375">
        <v>1</v>
      </c>
      <c r="AR47" s="374">
        <v>1</v>
      </c>
      <c r="AS47" s="373">
        <v>1</v>
      </c>
      <c r="AT47" s="373">
        <v>1</v>
      </c>
      <c r="AU47" s="375">
        <v>1</v>
      </c>
      <c r="AV47" s="373">
        <v>2</v>
      </c>
      <c r="AW47" s="373">
        <v>0</v>
      </c>
      <c r="AX47" s="376">
        <v>3</v>
      </c>
    </row>
    <row r="48" spans="1:50" ht="17.399999999999999" customHeight="1">
      <c r="A48" s="403">
        <v>3235</v>
      </c>
      <c r="B48" s="409" t="s">
        <v>22</v>
      </c>
      <c r="C48" s="409">
        <v>2</v>
      </c>
      <c r="D48" s="405">
        <v>5</v>
      </c>
      <c r="E48" s="410" t="s">
        <v>451</v>
      </c>
      <c r="F48" s="411" t="s">
        <v>127</v>
      </c>
      <c r="G48" s="430">
        <v>43409</v>
      </c>
      <c r="H48" s="377">
        <v>43409</v>
      </c>
      <c r="I48" s="383"/>
      <c r="J48" s="378">
        <v>1</v>
      </c>
      <c r="K48" s="378">
        <v>1.5</v>
      </c>
      <c r="L48" s="378">
        <f t="shared" si="0"/>
        <v>28</v>
      </c>
      <c r="M48" s="408">
        <f t="shared" si="1"/>
        <v>0.7567567567567568</v>
      </c>
      <c r="N48" s="378">
        <v>4</v>
      </c>
      <c r="O48" s="431">
        <v>43410</v>
      </c>
      <c r="P48" s="379"/>
      <c r="Q48" s="380">
        <v>1</v>
      </c>
      <c r="R48" s="379">
        <v>1</v>
      </c>
      <c r="S48" s="379">
        <v>1</v>
      </c>
      <c r="T48" s="379">
        <v>1</v>
      </c>
      <c r="U48" s="379">
        <v>1</v>
      </c>
      <c r="V48" s="381">
        <v>0</v>
      </c>
      <c r="W48" s="379">
        <v>1</v>
      </c>
      <c r="X48" s="379">
        <v>1</v>
      </c>
      <c r="Y48" s="379">
        <v>1</v>
      </c>
      <c r="Z48" s="379">
        <v>0</v>
      </c>
      <c r="AA48" s="379">
        <v>1</v>
      </c>
      <c r="AB48" s="379">
        <v>1</v>
      </c>
      <c r="AC48" s="379">
        <v>1</v>
      </c>
      <c r="AD48" s="379">
        <v>1</v>
      </c>
      <c r="AE48" s="379">
        <v>1</v>
      </c>
      <c r="AF48" s="380">
        <v>1</v>
      </c>
      <c r="AG48" s="379">
        <v>1</v>
      </c>
      <c r="AH48" s="379">
        <v>0</v>
      </c>
      <c r="AI48" s="381">
        <v>1</v>
      </c>
      <c r="AJ48" s="379">
        <v>1</v>
      </c>
      <c r="AK48" s="379">
        <v>1</v>
      </c>
      <c r="AL48" s="379">
        <v>1</v>
      </c>
      <c r="AM48" s="379">
        <v>1</v>
      </c>
      <c r="AN48" s="380">
        <v>1</v>
      </c>
      <c r="AO48" s="379">
        <v>1</v>
      </c>
      <c r="AP48" s="379">
        <v>1</v>
      </c>
      <c r="AQ48" s="381">
        <v>1</v>
      </c>
      <c r="AR48" s="380">
        <v>1</v>
      </c>
      <c r="AS48" s="379">
        <v>1</v>
      </c>
      <c r="AT48" s="379">
        <v>0</v>
      </c>
      <c r="AU48" s="381">
        <v>0</v>
      </c>
      <c r="AV48" s="379">
        <v>2</v>
      </c>
      <c r="AW48" s="379">
        <v>0</v>
      </c>
      <c r="AX48" s="382">
        <v>0</v>
      </c>
    </row>
    <row r="49" spans="1:50" ht="17.399999999999999" customHeight="1">
      <c r="A49" s="403">
        <v>3236</v>
      </c>
      <c r="B49" s="409" t="s">
        <v>22</v>
      </c>
      <c r="C49" s="409">
        <v>3</v>
      </c>
      <c r="D49" s="405">
        <v>4</v>
      </c>
      <c r="E49" s="410" t="s">
        <v>595</v>
      </c>
      <c r="F49" s="407" t="s">
        <v>19</v>
      </c>
      <c r="G49" s="430">
        <v>43409</v>
      </c>
      <c r="H49" s="377">
        <v>43409</v>
      </c>
      <c r="I49" s="383"/>
      <c r="J49" s="378">
        <v>1</v>
      </c>
      <c r="K49" s="378">
        <v>1.5</v>
      </c>
      <c r="L49" s="378">
        <f t="shared" si="0"/>
        <v>21</v>
      </c>
      <c r="M49" s="408">
        <f t="shared" si="1"/>
        <v>0.56756756756756754</v>
      </c>
      <c r="N49" s="378">
        <v>3</v>
      </c>
      <c r="O49" s="431">
        <v>43410</v>
      </c>
      <c r="P49" s="379"/>
      <c r="Q49" s="380">
        <v>1</v>
      </c>
      <c r="R49" s="379">
        <v>1</v>
      </c>
      <c r="S49" s="379">
        <v>1</v>
      </c>
      <c r="T49" s="379">
        <v>1</v>
      </c>
      <c r="U49" s="379">
        <v>1</v>
      </c>
      <c r="V49" s="381">
        <v>0</v>
      </c>
      <c r="W49" s="379">
        <v>1</v>
      </c>
      <c r="X49" s="379">
        <v>1</v>
      </c>
      <c r="Y49" s="379">
        <v>0</v>
      </c>
      <c r="Z49" s="379">
        <v>1</v>
      </c>
      <c r="AA49" s="379">
        <v>1</v>
      </c>
      <c r="AB49" s="379">
        <v>1</v>
      </c>
      <c r="AC49" s="379">
        <v>1</v>
      </c>
      <c r="AD49" s="379">
        <v>1</v>
      </c>
      <c r="AE49" s="379">
        <v>1</v>
      </c>
      <c r="AF49" s="380">
        <v>1</v>
      </c>
      <c r="AG49" s="379">
        <v>1</v>
      </c>
      <c r="AH49" s="379">
        <v>0</v>
      </c>
      <c r="AI49" s="381">
        <v>0</v>
      </c>
      <c r="AJ49" s="379">
        <v>1</v>
      </c>
      <c r="AK49" s="379">
        <v>1</v>
      </c>
      <c r="AL49" s="379">
        <v>1</v>
      </c>
      <c r="AM49" s="379">
        <v>1</v>
      </c>
      <c r="AN49" s="380">
        <v>0</v>
      </c>
      <c r="AO49" s="379">
        <v>0</v>
      </c>
      <c r="AP49" s="379">
        <v>1</v>
      </c>
      <c r="AQ49" s="381">
        <v>0</v>
      </c>
      <c r="AR49" s="380">
        <v>0</v>
      </c>
      <c r="AS49" s="379">
        <v>0</v>
      </c>
      <c r="AT49" s="379">
        <v>0</v>
      </c>
      <c r="AU49" s="381">
        <v>0</v>
      </c>
      <c r="AV49" s="379">
        <v>0</v>
      </c>
      <c r="AW49" s="379">
        <v>1</v>
      </c>
      <c r="AX49" s="382">
        <v>0</v>
      </c>
    </row>
    <row r="50" spans="1:50" ht="17.399999999999999" customHeight="1">
      <c r="A50" s="403">
        <v>3237</v>
      </c>
      <c r="B50" s="409" t="s">
        <v>22</v>
      </c>
      <c r="C50" s="409">
        <v>4</v>
      </c>
      <c r="D50" s="405">
        <v>5</v>
      </c>
      <c r="E50" s="410" t="s">
        <v>596</v>
      </c>
      <c r="F50" s="411" t="s">
        <v>688</v>
      </c>
      <c r="G50" s="430">
        <v>43409</v>
      </c>
      <c r="H50" s="377">
        <v>43409</v>
      </c>
      <c r="I50" s="383"/>
      <c r="J50" s="378">
        <v>1</v>
      </c>
      <c r="K50" s="378">
        <v>1.5</v>
      </c>
      <c r="L50" s="378">
        <f t="shared" si="0"/>
        <v>27</v>
      </c>
      <c r="M50" s="408">
        <f t="shared" si="1"/>
        <v>0.72972972972972971</v>
      </c>
      <c r="N50" s="378" t="s">
        <v>30</v>
      </c>
      <c r="O50" s="431">
        <v>43410</v>
      </c>
      <c r="P50" s="379"/>
      <c r="Q50" s="380">
        <v>1</v>
      </c>
      <c r="R50" s="379">
        <v>1</v>
      </c>
      <c r="S50" s="379">
        <v>1</v>
      </c>
      <c r="T50" s="379">
        <v>1</v>
      </c>
      <c r="U50" s="379">
        <v>1</v>
      </c>
      <c r="V50" s="381">
        <v>1</v>
      </c>
      <c r="W50" s="379">
        <v>1</v>
      </c>
      <c r="X50" s="379">
        <v>1</v>
      </c>
      <c r="Y50" s="379">
        <v>1</v>
      </c>
      <c r="Z50" s="379">
        <v>1</v>
      </c>
      <c r="AA50" s="379">
        <v>1</v>
      </c>
      <c r="AB50" s="379">
        <v>1</v>
      </c>
      <c r="AC50" s="379">
        <v>0</v>
      </c>
      <c r="AD50" s="379">
        <v>1</v>
      </c>
      <c r="AE50" s="379">
        <v>0</v>
      </c>
      <c r="AF50" s="380">
        <v>1</v>
      </c>
      <c r="AG50" s="379">
        <v>1</v>
      </c>
      <c r="AH50" s="379">
        <v>1</v>
      </c>
      <c r="AI50" s="381">
        <v>1</v>
      </c>
      <c r="AJ50" s="379">
        <v>1</v>
      </c>
      <c r="AK50" s="379">
        <v>1</v>
      </c>
      <c r="AL50" s="379">
        <v>1</v>
      </c>
      <c r="AM50" s="379">
        <v>0</v>
      </c>
      <c r="AN50" s="380">
        <v>0</v>
      </c>
      <c r="AO50" s="379">
        <v>0</v>
      </c>
      <c r="AP50" s="379">
        <v>1</v>
      </c>
      <c r="AQ50" s="381">
        <v>1</v>
      </c>
      <c r="AR50" s="380">
        <v>1</v>
      </c>
      <c r="AS50" s="379">
        <v>1</v>
      </c>
      <c r="AT50" s="379">
        <v>0</v>
      </c>
      <c r="AU50" s="381">
        <v>1</v>
      </c>
      <c r="AV50" s="379">
        <v>1</v>
      </c>
      <c r="AW50" s="379">
        <v>0</v>
      </c>
      <c r="AX50" s="382">
        <v>1</v>
      </c>
    </row>
    <row r="51" spans="1:50" ht="17.399999999999999" customHeight="1">
      <c r="A51" s="403">
        <v>3238</v>
      </c>
      <c r="B51" s="409" t="s">
        <v>22</v>
      </c>
      <c r="C51" s="409">
        <v>5</v>
      </c>
      <c r="D51" s="405">
        <v>5</v>
      </c>
      <c r="E51" s="412" t="s">
        <v>44</v>
      </c>
      <c r="F51" s="413" t="s">
        <v>0</v>
      </c>
      <c r="G51" s="430">
        <v>43409</v>
      </c>
      <c r="H51" s="377">
        <v>43409</v>
      </c>
      <c r="I51" s="383"/>
      <c r="J51" s="378">
        <v>1</v>
      </c>
      <c r="K51" s="378">
        <v>1.5</v>
      </c>
      <c r="L51" s="378">
        <f t="shared" si="0"/>
        <v>19</v>
      </c>
      <c r="M51" s="408">
        <f t="shared" si="1"/>
        <v>0.51351351351351349</v>
      </c>
      <c r="N51" s="378" t="s">
        <v>31</v>
      </c>
      <c r="O51" s="431">
        <v>43410</v>
      </c>
      <c r="P51" s="379">
        <v>-1</v>
      </c>
      <c r="Q51" s="380">
        <v>1</v>
      </c>
      <c r="R51" s="379">
        <v>1</v>
      </c>
      <c r="S51" s="379">
        <v>1</v>
      </c>
      <c r="T51" s="379">
        <v>1</v>
      </c>
      <c r="U51" s="379">
        <v>1</v>
      </c>
      <c r="V51" s="381">
        <v>0</v>
      </c>
      <c r="W51" s="379">
        <v>1</v>
      </c>
      <c r="X51" s="379">
        <v>1</v>
      </c>
      <c r="Y51" s="379">
        <v>0</v>
      </c>
      <c r="Z51" s="379">
        <v>0</v>
      </c>
      <c r="AA51" s="379">
        <v>1</v>
      </c>
      <c r="AB51" s="379">
        <v>1</v>
      </c>
      <c r="AC51" s="379">
        <v>0</v>
      </c>
      <c r="AD51" s="379">
        <v>1</v>
      </c>
      <c r="AE51" s="379">
        <v>1</v>
      </c>
      <c r="AF51" s="380">
        <v>0</v>
      </c>
      <c r="AG51" s="379">
        <v>0</v>
      </c>
      <c r="AH51" s="379">
        <v>0</v>
      </c>
      <c r="AI51" s="381">
        <v>0</v>
      </c>
      <c r="AJ51" s="379">
        <v>1</v>
      </c>
      <c r="AK51" s="379">
        <v>1</v>
      </c>
      <c r="AL51" s="379">
        <v>1</v>
      </c>
      <c r="AM51" s="379">
        <v>1</v>
      </c>
      <c r="AN51" s="380">
        <v>0</v>
      </c>
      <c r="AO51" s="379">
        <v>1</v>
      </c>
      <c r="AP51" s="379">
        <v>1</v>
      </c>
      <c r="AQ51" s="381">
        <v>1</v>
      </c>
      <c r="AR51" s="380">
        <v>1</v>
      </c>
      <c r="AS51" s="379">
        <v>1</v>
      </c>
      <c r="AT51" s="379">
        <v>0</v>
      </c>
      <c r="AU51" s="381">
        <v>0</v>
      </c>
      <c r="AV51" s="379">
        <v>0</v>
      </c>
      <c r="AW51" s="443">
        <v>0</v>
      </c>
      <c r="AX51" s="382">
        <v>0</v>
      </c>
    </row>
    <row r="52" spans="1:50" ht="17.399999999999999" customHeight="1">
      <c r="A52" s="403">
        <v>3239</v>
      </c>
      <c r="B52" s="409" t="s">
        <v>22</v>
      </c>
      <c r="C52" s="409">
        <v>6</v>
      </c>
      <c r="D52" s="405">
        <v>5</v>
      </c>
      <c r="E52" s="410" t="s">
        <v>45</v>
      </c>
      <c r="F52" s="411" t="s">
        <v>385</v>
      </c>
      <c r="G52" s="430">
        <v>43409</v>
      </c>
      <c r="H52" s="377">
        <v>43409</v>
      </c>
      <c r="I52" s="383"/>
      <c r="J52" s="378">
        <v>1</v>
      </c>
      <c r="K52" s="378">
        <v>1.5</v>
      </c>
      <c r="L52" s="378">
        <f t="shared" si="0"/>
        <v>23</v>
      </c>
      <c r="M52" s="408">
        <f t="shared" si="1"/>
        <v>0.6216216216216216</v>
      </c>
      <c r="N52" s="378">
        <v>3</v>
      </c>
      <c r="O52" s="431">
        <v>43410</v>
      </c>
      <c r="P52" s="379">
        <v>-1</v>
      </c>
      <c r="Q52" s="444">
        <v>1</v>
      </c>
      <c r="R52" s="379">
        <v>1</v>
      </c>
      <c r="S52" s="379">
        <v>0</v>
      </c>
      <c r="T52" s="379">
        <v>1</v>
      </c>
      <c r="U52" s="379">
        <v>1</v>
      </c>
      <c r="V52" s="381">
        <v>0</v>
      </c>
      <c r="W52" s="379">
        <v>1</v>
      </c>
      <c r="X52" s="379">
        <v>1</v>
      </c>
      <c r="Y52" s="379">
        <v>0</v>
      </c>
      <c r="Z52" s="379">
        <v>1</v>
      </c>
      <c r="AA52" s="379">
        <v>1</v>
      </c>
      <c r="AB52" s="379">
        <v>1</v>
      </c>
      <c r="AC52" s="379">
        <v>0</v>
      </c>
      <c r="AD52" s="379">
        <v>1</v>
      </c>
      <c r="AE52" s="379">
        <v>1</v>
      </c>
      <c r="AF52" s="380">
        <v>1</v>
      </c>
      <c r="AG52" s="379">
        <v>1</v>
      </c>
      <c r="AH52" s="379">
        <v>0</v>
      </c>
      <c r="AI52" s="381">
        <v>1</v>
      </c>
      <c r="AJ52" s="379">
        <v>1</v>
      </c>
      <c r="AK52" s="379">
        <v>1</v>
      </c>
      <c r="AL52" s="379">
        <v>1</v>
      </c>
      <c r="AM52" s="379">
        <v>1</v>
      </c>
      <c r="AN52" s="380">
        <v>1</v>
      </c>
      <c r="AO52" s="379">
        <v>1</v>
      </c>
      <c r="AP52" s="379">
        <v>1</v>
      </c>
      <c r="AQ52" s="381">
        <v>1</v>
      </c>
      <c r="AR52" s="380">
        <v>1</v>
      </c>
      <c r="AS52" s="379">
        <v>0</v>
      </c>
      <c r="AT52" s="379">
        <v>0</v>
      </c>
      <c r="AU52" s="381">
        <v>1</v>
      </c>
      <c r="AV52" s="379">
        <v>0</v>
      </c>
      <c r="AW52" s="379">
        <v>0</v>
      </c>
      <c r="AX52" s="382">
        <v>0</v>
      </c>
    </row>
    <row r="53" spans="1:50" ht="17.399999999999999" customHeight="1">
      <c r="A53" s="403">
        <v>3240</v>
      </c>
      <c r="B53" s="409" t="s">
        <v>22</v>
      </c>
      <c r="C53" s="409">
        <v>7</v>
      </c>
      <c r="D53" s="405">
        <v>6</v>
      </c>
      <c r="E53" s="410" t="s">
        <v>155</v>
      </c>
      <c r="F53" s="411" t="s">
        <v>19</v>
      </c>
      <c r="G53" s="430">
        <v>43418</v>
      </c>
      <c r="H53" s="377">
        <v>43418</v>
      </c>
      <c r="I53" s="383"/>
      <c r="J53" s="378">
        <v>1</v>
      </c>
      <c r="K53" s="378">
        <v>1.5</v>
      </c>
      <c r="L53" s="378">
        <f t="shared" si="0"/>
        <v>18</v>
      </c>
      <c r="M53" s="408">
        <f t="shared" si="1"/>
        <v>0.48648648648648651</v>
      </c>
      <c r="N53" s="378" t="s">
        <v>35</v>
      </c>
      <c r="O53" s="431">
        <v>43418</v>
      </c>
      <c r="P53" s="379">
        <v>-1</v>
      </c>
      <c r="Q53" s="380">
        <v>1</v>
      </c>
      <c r="R53" s="379">
        <v>1</v>
      </c>
      <c r="S53" s="379">
        <v>1</v>
      </c>
      <c r="T53" s="379">
        <v>1</v>
      </c>
      <c r="U53" s="379">
        <v>1</v>
      </c>
      <c r="V53" s="381">
        <v>0</v>
      </c>
      <c r="W53" s="379">
        <v>1</v>
      </c>
      <c r="X53" s="379">
        <v>1</v>
      </c>
      <c r="Y53" s="379">
        <v>1</v>
      </c>
      <c r="Z53" s="379">
        <v>0</v>
      </c>
      <c r="AA53" s="379">
        <v>0</v>
      </c>
      <c r="AB53" s="379">
        <v>0</v>
      </c>
      <c r="AC53" s="443">
        <v>1</v>
      </c>
      <c r="AD53" s="379">
        <v>0</v>
      </c>
      <c r="AE53" s="379">
        <v>0</v>
      </c>
      <c r="AF53" s="380">
        <v>1</v>
      </c>
      <c r="AG53" s="379">
        <v>1</v>
      </c>
      <c r="AH53" s="379">
        <v>1</v>
      </c>
      <c r="AI53" s="381">
        <v>0</v>
      </c>
      <c r="AJ53" s="379">
        <v>1</v>
      </c>
      <c r="AK53" s="379">
        <v>1</v>
      </c>
      <c r="AL53" s="379">
        <v>1</v>
      </c>
      <c r="AM53" s="379">
        <v>1</v>
      </c>
      <c r="AN53" s="380">
        <v>1</v>
      </c>
      <c r="AO53" s="379">
        <v>0</v>
      </c>
      <c r="AP53" s="379">
        <v>1</v>
      </c>
      <c r="AQ53" s="381">
        <v>1</v>
      </c>
      <c r="AR53" s="380">
        <v>0</v>
      </c>
      <c r="AS53" s="379">
        <v>0</v>
      </c>
      <c r="AT53" s="379">
        <v>0</v>
      </c>
      <c r="AU53" s="381">
        <v>0</v>
      </c>
      <c r="AV53" s="379">
        <v>0</v>
      </c>
      <c r="AW53" s="379">
        <v>0</v>
      </c>
      <c r="AX53" s="382">
        <v>0</v>
      </c>
    </row>
    <row r="54" spans="1:50" ht="17.399999999999999" customHeight="1">
      <c r="A54" s="403">
        <v>3241</v>
      </c>
      <c r="B54" s="409" t="s">
        <v>22</v>
      </c>
      <c r="C54" s="409">
        <v>8</v>
      </c>
      <c r="D54" s="405">
        <v>4</v>
      </c>
      <c r="E54" s="410" t="s">
        <v>426</v>
      </c>
      <c r="F54" s="411" t="s">
        <v>11</v>
      </c>
      <c r="G54" s="430">
        <v>43409</v>
      </c>
      <c r="H54" s="377">
        <v>43409</v>
      </c>
      <c r="I54" s="383"/>
      <c r="J54" s="378">
        <v>1</v>
      </c>
      <c r="K54" s="378">
        <v>1.5</v>
      </c>
      <c r="L54" s="378">
        <f t="shared" si="0"/>
        <v>22</v>
      </c>
      <c r="M54" s="408">
        <f t="shared" si="1"/>
        <v>0.59459459459459463</v>
      </c>
      <c r="N54" s="378">
        <v>3</v>
      </c>
      <c r="O54" s="431">
        <v>43410</v>
      </c>
      <c r="P54" s="379"/>
      <c r="Q54" s="380">
        <v>1</v>
      </c>
      <c r="R54" s="379">
        <v>0</v>
      </c>
      <c r="S54" s="379">
        <v>0</v>
      </c>
      <c r="T54" s="379">
        <v>1</v>
      </c>
      <c r="U54" s="379">
        <v>1</v>
      </c>
      <c r="V54" s="381">
        <v>0</v>
      </c>
      <c r="W54" s="379">
        <v>1</v>
      </c>
      <c r="X54" s="379">
        <v>1</v>
      </c>
      <c r="Y54" s="379">
        <v>0</v>
      </c>
      <c r="Z54" s="379">
        <v>1</v>
      </c>
      <c r="AA54" s="379">
        <v>1</v>
      </c>
      <c r="AB54" s="379">
        <v>1</v>
      </c>
      <c r="AC54" s="379">
        <v>1</v>
      </c>
      <c r="AD54" s="379">
        <v>1</v>
      </c>
      <c r="AE54" s="379">
        <v>1</v>
      </c>
      <c r="AF54" s="380">
        <v>1</v>
      </c>
      <c r="AG54" s="379">
        <v>1</v>
      </c>
      <c r="AH54" s="379">
        <v>1</v>
      </c>
      <c r="AI54" s="381">
        <v>1</v>
      </c>
      <c r="AJ54" s="379">
        <v>1</v>
      </c>
      <c r="AK54" s="379">
        <v>1</v>
      </c>
      <c r="AL54" s="379">
        <v>0</v>
      </c>
      <c r="AM54" s="379">
        <v>1</v>
      </c>
      <c r="AN54" s="380">
        <v>1</v>
      </c>
      <c r="AO54" s="379">
        <v>0</v>
      </c>
      <c r="AP54" s="379">
        <v>1</v>
      </c>
      <c r="AQ54" s="381">
        <v>1</v>
      </c>
      <c r="AR54" s="380">
        <v>0</v>
      </c>
      <c r="AS54" s="379">
        <v>0</v>
      </c>
      <c r="AT54" s="379">
        <v>0</v>
      </c>
      <c r="AU54" s="381">
        <v>0</v>
      </c>
      <c r="AV54" s="379">
        <v>0</v>
      </c>
      <c r="AW54" s="379">
        <v>1</v>
      </c>
      <c r="AX54" s="382">
        <v>0</v>
      </c>
    </row>
    <row r="55" spans="1:50" ht="17.399999999999999" customHeight="1">
      <c r="A55" s="403">
        <v>3242</v>
      </c>
      <c r="B55" s="409" t="s">
        <v>22</v>
      </c>
      <c r="C55" s="409">
        <v>9</v>
      </c>
      <c r="D55" s="405">
        <v>6</v>
      </c>
      <c r="E55" s="410" t="s">
        <v>597</v>
      </c>
      <c r="F55" s="411" t="s">
        <v>11</v>
      </c>
      <c r="G55" s="430">
        <v>43418</v>
      </c>
      <c r="H55" s="377">
        <v>43418</v>
      </c>
      <c r="I55" s="383"/>
      <c r="J55" s="378">
        <v>1</v>
      </c>
      <c r="K55" s="378">
        <v>1.5</v>
      </c>
      <c r="L55" s="378">
        <f t="shared" si="0"/>
        <v>24</v>
      </c>
      <c r="M55" s="408">
        <f t="shared" si="1"/>
        <v>0.64864864864864868</v>
      </c>
      <c r="N55" s="378">
        <v>3</v>
      </c>
      <c r="O55" s="431">
        <v>43418</v>
      </c>
      <c r="P55" s="379"/>
      <c r="Q55" s="380">
        <v>1</v>
      </c>
      <c r="R55" s="379">
        <v>1</v>
      </c>
      <c r="S55" s="379">
        <v>1</v>
      </c>
      <c r="T55" s="379">
        <v>1</v>
      </c>
      <c r="U55" s="379">
        <v>1</v>
      </c>
      <c r="V55" s="381">
        <v>0</v>
      </c>
      <c r="W55" s="379">
        <v>1</v>
      </c>
      <c r="X55" s="379">
        <v>1</v>
      </c>
      <c r="Y55" s="379">
        <v>1</v>
      </c>
      <c r="Z55" s="379">
        <v>0</v>
      </c>
      <c r="AA55" s="379">
        <v>1</v>
      </c>
      <c r="AB55" s="379">
        <v>0</v>
      </c>
      <c r="AC55" s="379">
        <v>1</v>
      </c>
      <c r="AD55" s="379">
        <v>1</v>
      </c>
      <c r="AE55" s="379">
        <v>0</v>
      </c>
      <c r="AF55" s="380">
        <v>0</v>
      </c>
      <c r="AG55" s="379">
        <v>0</v>
      </c>
      <c r="AH55" s="379">
        <v>1</v>
      </c>
      <c r="AI55" s="381">
        <v>1</v>
      </c>
      <c r="AJ55" s="379">
        <v>0</v>
      </c>
      <c r="AK55" s="379">
        <v>0</v>
      </c>
      <c r="AL55" s="379">
        <v>0</v>
      </c>
      <c r="AM55" s="379">
        <v>1</v>
      </c>
      <c r="AN55" s="380">
        <v>1</v>
      </c>
      <c r="AO55" s="379">
        <v>1</v>
      </c>
      <c r="AP55" s="379">
        <v>1</v>
      </c>
      <c r="AQ55" s="381">
        <v>1</v>
      </c>
      <c r="AR55" s="380">
        <v>1</v>
      </c>
      <c r="AS55" s="379">
        <v>1</v>
      </c>
      <c r="AT55" s="379">
        <v>1</v>
      </c>
      <c r="AU55" s="381">
        <v>1</v>
      </c>
      <c r="AV55" s="379">
        <v>0</v>
      </c>
      <c r="AW55" s="379">
        <v>0</v>
      </c>
      <c r="AX55" s="382">
        <v>2</v>
      </c>
    </row>
    <row r="56" spans="1:50" ht="17.399999999999999" customHeight="1">
      <c r="A56" s="403">
        <v>3243</v>
      </c>
      <c r="B56" s="409" t="s">
        <v>22</v>
      </c>
      <c r="C56" s="409">
        <v>10</v>
      </c>
      <c r="D56" s="405">
        <v>6</v>
      </c>
      <c r="E56" s="410" t="s">
        <v>598</v>
      </c>
      <c r="F56" s="411" t="s">
        <v>599</v>
      </c>
      <c r="G56" s="430">
        <v>43418</v>
      </c>
      <c r="H56" s="377">
        <v>43418</v>
      </c>
      <c r="I56" s="383" t="s">
        <v>700</v>
      </c>
      <c r="J56" s="378">
        <v>1</v>
      </c>
      <c r="K56" s="378">
        <v>0.1</v>
      </c>
      <c r="L56" s="378">
        <f t="shared" si="0"/>
        <v>3</v>
      </c>
      <c r="M56" s="408">
        <f t="shared" si="1"/>
        <v>8.1081081081081086E-2</v>
      </c>
      <c r="N56" s="378">
        <v>1</v>
      </c>
      <c r="O56" s="431">
        <v>43418</v>
      </c>
      <c r="P56" s="379">
        <v>-30</v>
      </c>
      <c r="Q56" s="380">
        <v>1</v>
      </c>
      <c r="R56" s="379">
        <v>1</v>
      </c>
      <c r="S56" s="379">
        <v>1</v>
      </c>
      <c r="T56" s="379">
        <v>1</v>
      </c>
      <c r="U56" s="379">
        <v>1</v>
      </c>
      <c r="V56" s="381">
        <v>1</v>
      </c>
      <c r="W56" s="379">
        <v>1</v>
      </c>
      <c r="X56" s="379">
        <v>1</v>
      </c>
      <c r="Y56" s="379">
        <v>1</v>
      </c>
      <c r="Z56" s="379">
        <v>1</v>
      </c>
      <c r="AA56" s="379">
        <v>1</v>
      </c>
      <c r="AB56" s="379">
        <v>1</v>
      </c>
      <c r="AC56" s="379">
        <v>0</v>
      </c>
      <c r="AD56" s="379">
        <v>1</v>
      </c>
      <c r="AE56" s="379">
        <v>1</v>
      </c>
      <c r="AF56" s="380">
        <v>1</v>
      </c>
      <c r="AG56" s="379">
        <v>1</v>
      </c>
      <c r="AH56" s="379">
        <v>1</v>
      </c>
      <c r="AI56" s="381">
        <v>1</v>
      </c>
      <c r="AJ56" s="379">
        <v>1</v>
      </c>
      <c r="AK56" s="379">
        <v>1</v>
      </c>
      <c r="AL56" s="379">
        <v>1</v>
      </c>
      <c r="AM56" s="379">
        <v>1</v>
      </c>
      <c r="AN56" s="380">
        <v>1</v>
      </c>
      <c r="AO56" s="379">
        <v>1</v>
      </c>
      <c r="AP56" s="379">
        <v>1</v>
      </c>
      <c r="AQ56" s="381">
        <v>1</v>
      </c>
      <c r="AR56" s="380">
        <v>1</v>
      </c>
      <c r="AS56" s="379">
        <v>1</v>
      </c>
      <c r="AT56" s="379">
        <v>1</v>
      </c>
      <c r="AU56" s="381">
        <v>1</v>
      </c>
      <c r="AV56" s="379">
        <v>2</v>
      </c>
      <c r="AW56" s="379">
        <v>1</v>
      </c>
      <c r="AX56" s="453">
        <v>0</v>
      </c>
    </row>
    <row r="57" spans="1:50" ht="17.399999999999999" customHeight="1">
      <c r="A57" s="457">
        <v>3243</v>
      </c>
      <c r="B57" s="471" t="s">
        <v>22</v>
      </c>
      <c r="C57" s="471">
        <v>10</v>
      </c>
      <c r="D57" s="459">
        <v>6</v>
      </c>
      <c r="E57" s="472" t="s">
        <v>598</v>
      </c>
      <c r="F57" s="473" t="s">
        <v>599</v>
      </c>
      <c r="G57" s="462"/>
      <c r="H57" s="463">
        <v>43427</v>
      </c>
      <c r="I57" s="463"/>
      <c r="J57" s="464">
        <v>2</v>
      </c>
      <c r="K57" s="464">
        <v>1.4</v>
      </c>
      <c r="L57" s="464">
        <f t="shared" si="0"/>
        <v>28</v>
      </c>
      <c r="M57" s="465">
        <f t="shared" si="1"/>
        <v>0.7567567567567568</v>
      </c>
      <c r="N57" s="464">
        <v>4</v>
      </c>
      <c r="O57" s="466">
        <v>43427</v>
      </c>
      <c r="P57" s="467">
        <v>-5</v>
      </c>
      <c r="Q57" s="468">
        <v>1</v>
      </c>
      <c r="R57" s="467">
        <v>1</v>
      </c>
      <c r="S57" s="467">
        <v>1</v>
      </c>
      <c r="T57" s="467">
        <v>1</v>
      </c>
      <c r="U57" s="467">
        <v>1</v>
      </c>
      <c r="V57" s="469">
        <v>1</v>
      </c>
      <c r="W57" s="467">
        <v>1</v>
      </c>
      <c r="X57" s="467">
        <v>1</v>
      </c>
      <c r="Y57" s="467">
        <v>1</v>
      </c>
      <c r="Z57" s="467">
        <v>1</v>
      </c>
      <c r="AA57" s="467">
        <v>1</v>
      </c>
      <c r="AB57" s="467">
        <v>1</v>
      </c>
      <c r="AC57" s="474">
        <v>0</v>
      </c>
      <c r="AD57" s="467">
        <v>1</v>
      </c>
      <c r="AE57" s="467">
        <v>1</v>
      </c>
      <c r="AF57" s="468">
        <v>1</v>
      </c>
      <c r="AG57" s="467">
        <v>1</v>
      </c>
      <c r="AH57" s="467">
        <v>1</v>
      </c>
      <c r="AI57" s="469">
        <v>1</v>
      </c>
      <c r="AJ57" s="467">
        <v>1</v>
      </c>
      <c r="AK57" s="467">
        <v>1</v>
      </c>
      <c r="AL57" s="467">
        <v>1</v>
      </c>
      <c r="AM57" s="467">
        <v>1</v>
      </c>
      <c r="AN57" s="468">
        <v>1</v>
      </c>
      <c r="AO57" s="467">
        <v>1</v>
      </c>
      <c r="AP57" s="467">
        <v>1</v>
      </c>
      <c r="AQ57" s="469">
        <v>1</v>
      </c>
      <c r="AR57" s="468">
        <v>1</v>
      </c>
      <c r="AS57" s="467">
        <v>1</v>
      </c>
      <c r="AT57" s="467">
        <v>1</v>
      </c>
      <c r="AU57" s="469">
        <v>1</v>
      </c>
      <c r="AV57" s="467">
        <v>2</v>
      </c>
      <c r="AW57" s="467">
        <v>1</v>
      </c>
      <c r="AX57" s="470">
        <v>0</v>
      </c>
    </row>
    <row r="58" spans="1:50" ht="17.399999999999999" customHeight="1">
      <c r="A58" s="403">
        <v>3244</v>
      </c>
      <c r="B58" s="409" t="s">
        <v>22</v>
      </c>
      <c r="C58" s="409">
        <v>11</v>
      </c>
      <c r="D58" s="405">
        <v>6</v>
      </c>
      <c r="E58" s="410" t="s">
        <v>431</v>
      </c>
      <c r="F58" s="411" t="s">
        <v>680</v>
      </c>
      <c r="G58" s="430">
        <v>43418</v>
      </c>
      <c r="H58" s="377">
        <v>43418</v>
      </c>
      <c r="I58" s="383"/>
      <c r="J58" s="378">
        <v>1</v>
      </c>
      <c r="K58" s="378">
        <v>1.5</v>
      </c>
      <c r="L58" s="378">
        <f t="shared" si="0"/>
        <v>24</v>
      </c>
      <c r="M58" s="408">
        <f t="shared" si="1"/>
        <v>0.64864864864864868</v>
      </c>
      <c r="N58" s="378">
        <v>3</v>
      </c>
      <c r="O58" s="431">
        <v>43418</v>
      </c>
      <c r="P58" s="379">
        <v>-1</v>
      </c>
      <c r="Q58" s="380">
        <v>1</v>
      </c>
      <c r="R58" s="379">
        <v>1</v>
      </c>
      <c r="S58" s="379">
        <v>1</v>
      </c>
      <c r="T58" s="379">
        <v>1</v>
      </c>
      <c r="U58" s="379">
        <v>1</v>
      </c>
      <c r="V58" s="381">
        <v>0</v>
      </c>
      <c r="W58" s="379">
        <v>1</v>
      </c>
      <c r="X58" s="379">
        <v>1</v>
      </c>
      <c r="Y58" s="379">
        <v>1</v>
      </c>
      <c r="Z58" s="379">
        <v>0</v>
      </c>
      <c r="AA58" s="379">
        <v>1</v>
      </c>
      <c r="AB58" s="379">
        <v>1</v>
      </c>
      <c r="AC58" s="379">
        <v>0</v>
      </c>
      <c r="AD58" s="379">
        <v>1</v>
      </c>
      <c r="AE58" s="379">
        <v>1</v>
      </c>
      <c r="AF58" s="380">
        <v>0</v>
      </c>
      <c r="AG58" s="379">
        <v>0</v>
      </c>
      <c r="AH58" s="379">
        <v>0</v>
      </c>
      <c r="AI58" s="381">
        <v>0</v>
      </c>
      <c r="AJ58" s="379">
        <v>1</v>
      </c>
      <c r="AK58" s="379">
        <v>1</v>
      </c>
      <c r="AL58" s="379">
        <v>0</v>
      </c>
      <c r="AM58" s="379">
        <v>1</v>
      </c>
      <c r="AN58" s="380">
        <v>1</v>
      </c>
      <c r="AO58" s="379">
        <v>0</v>
      </c>
      <c r="AP58" s="379">
        <v>1</v>
      </c>
      <c r="AQ58" s="381">
        <v>1</v>
      </c>
      <c r="AR58" s="380">
        <v>1</v>
      </c>
      <c r="AS58" s="379">
        <v>1</v>
      </c>
      <c r="AT58" s="379">
        <v>1</v>
      </c>
      <c r="AU58" s="381">
        <v>1</v>
      </c>
      <c r="AV58" s="379">
        <v>0</v>
      </c>
      <c r="AW58" s="379">
        <v>0</v>
      </c>
      <c r="AX58" s="453">
        <v>3</v>
      </c>
    </row>
    <row r="59" spans="1:50" ht="17.399999999999999" customHeight="1">
      <c r="A59" s="403">
        <v>3246</v>
      </c>
      <c r="B59" s="409" t="s">
        <v>22</v>
      </c>
      <c r="C59" s="409">
        <v>12</v>
      </c>
      <c r="D59" s="405">
        <v>5</v>
      </c>
      <c r="E59" s="410" t="s">
        <v>600</v>
      </c>
      <c r="F59" s="411" t="s">
        <v>66</v>
      </c>
      <c r="G59" s="430">
        <v>43409</v>
      </c>
      <c r="H59" s="377">
        <v>43409</v>
      </c>
      <c r="I59" s="393"/>
      <c r="J59" s="378">
        <v>1</v>
      </c>
      <c r="K59" s="378">
        <v>1.5</v>
      </c>
      <c r="L59" s="378">
        <f t="shared" si="0"/>
        <v>24</v>
      </c>
      <c r="M59" s="408">
        <f t="shared" si="1"/>
        <v>0.64864864864864868</v>
      </c>
      <c r="N59" s="378">
        <v>3</v>
      </c>
      <c r="O59" s="431">
        <v>43410</v>
      </c>
      <c r="P59" s="393"/>
      <c r="Q59" s="392">
        <v>1</v>
      </c>
      <c r="R59" s="393">
        <v>1</v>
      </c>
      <c r="S59" s="393">
        <v>1</v>
      </c>
      <c r="T59" s="393">
        <v>1</v>
      </c>
      <c r="U59" s="393">
        <v>1</v>
      </c>
      <c r="V59" s="396">
        <v>0</v>
      </c>
      <c r="W59" s="393">
        <v>0</v>
      </c>
      <c r="X59" s="393">
        <v>1</v>
      </c>
      <c r="Y59" s="393">
        <v>1</v>
      </c>
      <c r="Z59" s="393">
        <v>0</v>
      </c>
      <c r="AA59" s="393">
        <v>0</v>
      </c>
      <c r="AB59" s="393">
        <v>0</v>
      </c>
      <c r="AC59" s="393">
        <v>0</v>
      </c>
      <c r="AD59" s="393">
        <v>1</v>
      </c>
      <c r="AE59" s="393">
        <v>1</v>
      </c>
      <c r="AF59" s="392">
        <v>0</v>
      </c>
      <c r="AG59" s="393">
        <v>0</v>
      </c>
      <c r="AH59" s="393">
        <v>0</v>
      </c>
      <c r="AI59" s="396">
        <v>0</v>
      </c>
      <c r="AJ59" s="393">
        <v>1</v>
      </c>
      <c r="AK59" s="393">
        <v>1</v>
      </c>
      <c r="AL59" s="393">
        <v>1</v>
      </c>
      <c r="AM59" s="393">
        <v>1</v>
      </c>
      <c r="AN59" s="392">
        <v>1</v>
      </c>
      <c r="AO59" s="393">
        <v>1</v>
      </c>
      <c r="AP59" s="393">
        <v>1</v>
      </c>
      <c r="AQ59" s="396">
        <v>1</v>
      </c>
      <c r="AR59" s="392">
        <v>1</v>
      </c>
      <c r="AS59" s="393">
        <v>1</v>
      </c>
      <c r="AT59" s="393">
        <v>1</v>
      </c>
      <c r="AU59" s="396">
        <v>1</v>
      </c>
      <c r="AV59" s="393">
        <v>2</v>
      </c>
      <c r="AW59" s="393">
        <v>0</v>
      </c>
      <c r="AX59" s="397">
        <v>1</v>
      </c>
    </row>
    <row r="60" spans="1:50" ht="17.399999999999999" customHeight="1">
      <c r="A60" s="403">
        <v>3247</v>
      </c>
      <c r="B60" s="409" t="s">
        <v>22</v>
      </c>
      <c r="C60" s="409">
        <v>13</v>
      </c>
      <c r="D60" s="405">
        <v>6</v>
      </c>
      <c r="E60" s="410" t="s">
        <v>601</v>
      </c>
      <c r="F60" s="411" t="s">
        <v>68</v>
      </c>
      <c r="G60" s="430">
        <v>43418</v>
      </c>
      <c r="H60" s="377">
        <v>43418</v>
      </c>
      <c r="I60" s="383"/>
      <c r="J60" s="378">
        <v>1</v>
      </c>
      <c r="K60" s="378">
        <v>0.2</v>
      </c>
      <c r="L60" s="378">
        <f t="shared" si="0"/>
        <v>10</v>
      </c>
      <c r="M60" s="408">
        <f t="shared" si="1"/>
        <v>0.27027027027027029</v>
      </c>
      <c r="N60" s="378">
        <v>1</v>
      </c>
      <c r="O60" s="431">
        <v>43418</v>
      </c>
      <c r="P60" s="379"/>
      <c r="Q60" s="380">
        <v>1</v>
      </c>
      <c r="R60" s="379">
        <v>1</v>
      </c>
      <c r="S60" s="379">
        <v>1</v>
      </c>
      <c r="T60" s="379">
        <v>1</v>
      </c>
      <c r="U60" s="379">
        <v>0</v>
      </c>
      <c r="V60" s="381">
        <v>0</v>
      </c>
      <c r="W60" s="379">
        <v>1</v>
      </c>
      <c r="X60" s="379">
        <v>1</v>
      </c>
      <c r="Y60" s="379">
        <v>1</v>
      </c>
      <c r="Z60" s="379">
        <v>1</v>
      </c>
      <c r="AA60" s="379">
        <v>1</v>
      </c>
      <c r="AB60" s="379">
        <v>0</v>
      </c>
      <c r="AC60" s="379">
        <v>0</v>
      </c>
      <c r="AD60" s="379">
        <v>0</v>
      </c>
      <c r="AE60" s="379">
        <v>0</v>
      </c>
      <c r="AF60" s="380">
        <v>0</v>
      </c>
      <c r="AG60" s="379">
        <v>0</v>
      </c>
      <c r="AH60" s="379">
        <v>0</v>
      </c>
      <c r="AI60" s="381">
        <v>0</v>
      </c>
      <c r="AJ60" s="379">
        <v>1</v>
      </c>
      <c r="AK60" s="379">
        <v>0</v>
      </c>
      <c r="AL60" s="379">
        <v>0</v>
      </c>
      <c r="AM60" s="379">
        <v>0</v>
      </c>
      <c r="AN60" s="380">
        <v>0</v>
      </c>
      <c r="AO60" s="379">
        <v>0</v>
      </c>
      <c r="AP60" s="379">
        <v>0</v>
      </c>
      <c r="AQ60" s="381">
        <v>0</v>
      </c>
      <c r="AR60" s="380">
        <v>0</v>
      </c>
      <c r="AS60" s="379">
        <v>0</v>
      </c>
      <c r="AT60" s="379">
        <v>0</v>
      </c>
      <c r="AU60" s="381">
        <v>0</v>
      </c>
      <c r="AV60" s="379">
        <v>0</v>
      </c>
      <c r="AW60" s="379">
        <v>0</v>
      </c>
      <c r="AX60" s="382">
        <v>0</v>
      </c>
    </row>
    <row r="61" spans="1:50" ht="17.399999999999999" customHeight="1">
      <c r="A61" s="457">
        <v>3247</v>
      </c>
      <c r="B61" s="471" t="s">
        <v>22</v>
      </c>
      <c r="C61" s="471">
        <v>13</v>
      </c>
      <c r="D61" s="459">
        <v>6</v>
      </c>
      <c r="E61" s="472" t="s">
        <v>601</v>
      </c>
      <c r="F61" s="473" t="s">
        <v>68</v>
      </c>
      <c r="G61" s="462"/>
      <c r="H61" s="463">
        <v>43439</v>
      </c>
      <c r="I61" s="463"/>
      <c r="J61" s="464">
        <v>2</v>
      </c>
      <c r="K61" s="464">
        <v>1.3</v>
      </c>
      <c r="L61" s="464">
        <f t="shared" si="0"/>
        <v>33</v>
      </c>
      <c r="M61" s="465">
        <f t="shared" si="1"/>
        <v>0.89189189189189189</v>
      </c>
      <c r="N61" s="464">
        <v>5</v>
      </c>
      <c r="O61" s="466">
        <v>43440</v>
      </c>
      <c r="P61" s="467"/>
      <c r="Q61" s="468">
        <v>1</v>
      </c>
      <c r="R61" s="467">
        <v>1</v>
      </c>
      <c r="S61" s="467">
        <v>1</v>
      </c>
      <c r="T61" s="467">
        <v>1</v>
      </c>
      <c r="U61" s="467">
        <v>1</v>
      </c>
      <c r="V61" s="469">
        <v>1</v>
      </c>
      <c r="W61" s="467">
        <v>1</v>
      </c>
      <c r="X61" s="467">
        <v>1</v>
      </c>
      <c r="Y61" s="467">
        <v>1</v>
      </c>
      <c r="Z61" s="467">
        <v>1</v>
      </c>
      <c r="AA61" s="467">
        <v>1</v>
      </c>
      <c r="AB61" s="467">
        <v>1</v>
      </c>
      <c r="AC61" s="467">
        <v>0</v>
      </c>
      <c r="AD61" s="467">
        <v>1</v>
      </c>
      <c r="AE61" s="467">
        <v>1</v>
      </c>
      <c r="AF61" s="468">
        <v>1</v>
      </c>
      <c r="AG61" s="467">
        <v>1</v>
      </c>
      <c r="AH61" s="467">
        <v>1</v>
      </c>
      <c r="AI61" s="469">
        <v>1</v>
      </c>
      <c r="AJ61" s="467">
        <v>1</v>
      </c>
      <c r="AK61" s="467">
        <v>1</v>
      </c>
      <c r="AL61" s="467">
        <v>1</v>
      </c>
      <c r="AM61" s="467">
        <v>1</v>
      </c>
      <c r="AN61" s="468">
        <v>1</v>
      </c>
      <c r="AO61" s="467">
        <v>1</v>
      </c>
      <c r="AP61" s="467">
        <v>1</v>
      </c>
      <c r="AQ61" s="469">
        <v>1</v>
      </c>
      <c r="AR61" s="468">
        <v>1</v>
      </c>
      <c r="AS61" s="467">
        <v>1</v>
      </c>
      <c r="AT61" s="467">
        <v>1</v>
      </c>
      <c r="AU61" s="469">
        <v>1</v>
      </c>
      <c r="AV61" s="467">
        <v>2</v>
      </c>
      <c r="AW61" s="467">
        <v>0</v>
      </c>
      <c r="AX61" s="470">
        <v>1</v>
      </c>
    </row>
    <row r="62" spans="1:50" ht="17.399999999999999" customHeight="1">
      <c r="A62" s="403">
        <v>3248</v>
      </c>
      <c r="B62" s="409" t="s">
        <v>22</v>
      </c>
      <c r="C62" s="409">
        <v>14</v>
      </c>
      <c r="D62" s="405">
        <v>6</v>
      </c>
      <c r="E62" s="410" t="s">
        <v>602</v>
      </c>
      <c r="F62" s="411" t="s">
        <v>0</v>
      </c>
      <c r="G62" s="430">
        <v>43418</v>
      </c>
      <c r="H62" s="377">
        <v>43418</v>
      </c>
      <c r="I62" s="383"/>
      <c r="J62" s="378">
        <v>1</v>
      </c>
      <c r="K62" s="378">
        <v>1.5</v>
      </c>
      <c r="L62" s="378">
        <f t="shared" si="0"/>
        <v>34</v>
      </c>
      <c r="M62" s="408">
        <f t="shared" si="1"/>
        <v>0.91891891891891897</v>
      </c>
      <c r="N62" s="378">
        <v>5</v>
      </c>
      <c r="O62" s="431">
        <v>43418</v>
      </c>
      <c r="P62" s="379"/>
      <c r="Q62" s="380">
        <v>1</v>
      </c>
      <c r="R62" s="379">
        <v>1</v>
      </c>
      <c r="S62" s="379">
        <v>1</v>
      </c>
      <c r="T62" s="379">
        <v>1</v>
      </c>
      <c r="U62" s="379">
        <v>1</v>
      </c>
      <c r="V62" s="381">
        <v>1</v>
      </c>
      <c r="W62" s="379">
        <v>1</v>
      </c>
      <c r="X62" s="379">
        <v>1</v>
      </c>
      <c r="Y62" s="379">
        <v>1</v>
      </c>
      <c r="Z62" s="379">
        <v>1</v>
      </c>
      <c r="AA62" s="379">
        <v>1</v>
      </c>
      <c r="AB62" s="379">
        <v>1</v>
      </c>
      <c r="AC62" s="379">
        <v>1</v>
      </c>
      <c r="AD62" s="379">
        <v>1</v>
      </c>
      <c r="AE62" s="379">
        <v>1</v>
      </c>
      <c r="AF62" s="380">
        <v>1</v>
      </c>
      <c r="AG62" s="379">
        <v>1</v>
      </c>
      <c r="AH62" s="379">
        <v>1</v>
      </c>
      <c r="AI62" s="381">
        <v>1</v>
      </c>
      <c r="AJ62" s="379">
        <v>1</v>
      </c>
      <c r="AK62" s="379">
        <v>1</v>
      </c>
      <c r="AL62" s="379">
        <v>1</v>
      </c>
      <c r="AM62" s="379">
        <v>1</v>
      </c>
      <c r="AN62" s="380">
        <v>1</v>
      </c>
      <c r="AO62" s="379">
        <v>1</v>
      </c>
      <c r="AP62" s="379">
        <v>1</v>
      </c>
      <c r="AQ62" s="381">
        <v>1</v>
      </c>
      <c r="AR62" s="380">
        <v>0</v>
      </c>
      <c r="AS62" s="379">
        <v>1</v>
      </c>
      <c r="AT62" s="379">
        <v>0</v>
      </c>
      <c r="AU62" s="381">
        <v>1</v>
      </c>
      <c r="AV62" s="379">
        <v>2</v>
      </c>
      <c r="AW62" s="379">
        <v>0</v>
      </c>
      <c r="AX62" s="382">
        <v>3</v>
      </c>
    </row>
    <row r="63" spans="1:50" ht="17.399999999999999" customHeight="1">
      <c r="A63" s="403">
        <v>3250</v>
      </c>
      <c r="B63" s="409" t="s">
        <v>22</v>
      </c>
      <c r="C63" s="409">
        <v>15</v>
      </c>
      <c r="D63" s="405">
        <v>5</v>
      </c>
      <c r="E63" s="410" t="s">
        <v>603</v>
      </c>
      <c r="F63" s="411" t="s">
        <v>14</v>
      </c>
      <c r="G63" s="430">
        <v>43409</v>
      </c>
      <c r="H63" s="377">
        <v>43409</v>
      </c>
      <c r="I63" s="383"/>
      <c r="J63" s="378">
        <v>1</v>
      </c>
      <c r="K63" s="378">
        <v>1.5</v>
      </c>
      <c r="L63" s="378">
        <f t="shared" si="0"/>
        <v>37</v>
      </c>
      <c r="M63" s="408">
        <f t="shared" si="1"/>
        <v>1</v>
      </c>
      <c r="N63" s="378">
        <v>6</v>
      </c>
      <c r="O63" s="431">
        <v>43411</v>
      </c>
      <c r="P63" s="379"/>
      <c r="Q63" s="380">
        <v>1</v>
      </c>
      <c r="R63" s="379">
        <v>1</v>
      </c>
      <c r="S63" s="379">
        <v>1</v>
      </c>
      <c r="T63" s="379">
        <v>1</v>
      </c>
      <c r="U63" s="379">
        <v>1</v>
      </c>
      <c r="V63" s="381">
        <v>1</v>
      </c>
      <c r="W63" s="379">
        <v>1</v>
      </c>
      <c r="X63" s="379">
        <v>1</v>
      </c>
      <c r="Y63" s="379">
        <v>1</v>
      </c>
      <c r="Z63" s="379">
        <v>1</v>
      </c>
      <c r="AA63" s="379">
        <v>1</v>
      </c>
      <c r="AB63" s="379">
        <v>1</v>
      </c>
      <c r="AC63" s="379">
        <v>1</v>
      </c>
      <c r="AD63" s="379">
        <v>1</v>
      </c>
      <c r="AE63" s="379">
        <v>1</v>
      </c>
      <c r="AF63" s="380">
        <v>1</v>
      </c>
      <c r="AG63" s="379">
        <v>1</v>
      </c>
      <c r="AH63" s="379">
        <v>1</v>
      </c>
      <c r="AI63" s="381">
        <v>1</v>
      </c>
      <c r="AJ63" s="379">
        <v>1</v>
      </c>
      <c r="AK63" s="379">
        <v>1</v>
      </c>
      <c r="AL63" s="379">
        <v>1</v>
      </c>
      <c r="AM63" s="379">
        <v>1</v>
      </c>
      <c r="AN63" s="380">
        <v>1</v>
      </c>
      <c r="AO63" s="379">
        <v>1</v>
      </c>
      <c r="AP63" s="379">
        <v>1</v>
      </c>
      <c r="AQ63" s="381">
        <v>1</v>
      </c>
      <c r="AR63" s="380">
        <v>1</v>
      </c>
      <c r="AS63" s="379">
        <v>1</v>
      </c>
      <c r="AT63" s="379">
        <v>1</v>
      </c>
      <c r="AU63" s="381">
        <v>1</v>
      </c>
      <c r="AV63" s="379">
        <v>2</v>
      </c>
      <c r="AW63" s="379">
        <v>1</v>
      </c>
      <c r="AX63" s="382">
        <v>3</v>
      </c>
    </row>
    <row r="64" spans="1:50" ht="17.399999999999999" customHeight="1">
      <c r="A64" s="403">
        <v>3251</v>
      </c>
      <c r="B64" s="409" t="s">
        <v>22</v>
      </c>
      <c r="C64" s="409">
        <v>16</v>
      </c>
      <c r="D64" s="405">
        <v>5</v>
      </c>
      <c r="E64" s="410" t="s">
        <v>604</v>
      </c>
      <c r="F64" s="411" t="s">
        <v>177</v>
      </c>
      <c r="G64" s="430">
        <v>43409</v>
      </c>
      <c r="H64" s="377">
        <v>43409</v>
      </c>
      <c r="I64" s="383"/>
      <c r="J64" s="378">
        <v>1</v>
      </c>
      <c r="K64" s="378">
        <v>1.5</v>
      </c>
      <c r="L64" s="378">
        <f t="shared" si="0"/>
        <v>36</v>
      </c>
      <c r="M64" s="408">
        <f t="shared" si="1"/>
        <v>0.97297297297297303</v>
      </c>
      <c r="N64" s="378" t="s">
        <v>36</v>
      </c>
      <c r="O64" s="431">
        <v>43411</v>
      </c>
      <c r="P64" s="379"/>
      <c r="Q64" s="380">
        <v>1</v>
      </c>
      <c r="R64" s="379">
        <v>1</v>
      </c>
      <c r="S64" s="379">
        <v>1</v>
      </c>
      <c r="T64" s="379">
        <v>1</v>
      </c>
      <c r="U64" s="379">
        <v>1</v>
      </c>
      <c r="V64" s="381">
        <v>0</v>
      </c>
      <c r="W64" s="379">
        <v>1</v>
      </c>
      <c r="X64" s="379">
        <v>1</v>
      </c>
      <c r="Y64" s="379">
        <v>1</v>
      </c>
      <c r="Z64" s="379">
        <v>1</v>
      </c>
      <c r="AA64" s="379">
        <v>1</v>
      </c>
      <c r="AB64" s="379">
        <v>1</v>
      </c>
      <c r="AC64" s="379">
        <v>1</v>
      </c>
      <c r="AD64" s="379">
        <v>1</v>
      </c>
      <c r="AE64" s="379">
        <v>1</v>
      </c>
      <c r="AF64" s="380">
        <v>1</v>
      </c>
      <c r="AG64" s="379">
        <v>1</v>
      </c>
      <c r="AH64" s="379">
        <v>1</v>
      </c>
      <c r="AI64" s="381">
        <v>1</v>
      </c>
      <c r="AJ64" s="379">
        <v>1</v>
      </c>
      <c r="AK64" s="379">
        <v>1</v>
      </c>
      <c r="AL64" s="379">
        <v>1</v>
      </c>
      <c r="AM64" s="379">
        <v>1</v>
      </c>
      <c r="AN64" s="380">
        <v>1</v>
      </c>
      <c r="AO64" s="379">
        <v>1</v>
      </c>
      <c r="AP64" s="379">
        <v>1</v>
      </c>
      <c r="AQ64" s="381">
        <v>1</v>
      </c>
      <c r="AR64" s="380">
        <v>1</v>
      </c>
      <c r="AS64" s="379">
        <v>1</v>
      </c>
      <c r="AT64" s="379">
        <v>1</v>
      </c>
      <c r="AU64" s="381">
        <v>1</v>
      </c>
      <c r="AV64" s="379">
        <v>2</v>
      </c>
      <c r="AW64" s="379">
        <v>1</v>
      </c>
      <c r="AX64" s="382">
        <v>3</v>
      </c>
    </row>
    <row r="65" spans="1:50" ht="17.399999999999999" customHeight="1">
      <c r="A65" s="403">
        <v>3252</v>
      </c>
      <c r="B65" s="409" t="s">
        <v>22</v>
      </c>
      <c r="C65" s="409">
        <v>17</v>
      </c>
      <c r="D65" s="405">
        <v>5</v>
      </c>
      <c r="E65" s="410" t="s">
        <v>605</v>
      </c>
      <c r="F65" s="411" t="s">
        <v>80</v>
      </c>
      <c r="G65" s="430">
        <v>43409</v>
      </c>
      <c r="H65" s="377">
        <v>43409</v>
      </c>
      <c r="I65" s="383"/>
      <c r="J65" s="378">
        <v>1</v>
      </c>
      <c r="K65" s="378">
        <v>1.5</v>
      </c>
      <c r="L65" s="378">
        <f t="shared" si="0"/>
        <v>34</v>
      </c>
      <c r="M65" s="408">
        <f t="shared" si="1"/>
        <v>0.91891891891891897</v>
      </c>
      <c r="N65" s="378">
        <v>5</v>
      </c>
      <c r="O65" s="431">
        <v>43411</v>
      </c>
      <c r="P65" s="379"/>
      <c r="Q65" s="380">
        <v>1</v>
      </c>
      <c r="R65" s="379">
        <v>1</v>
      </c>
      <c r="S65" s="379">
        <v>1</v>
      </c>
      <c r="T65" s="379">
        <v>1</v>
      </c>
      <c r="U65" s="379">
        <v>1</v>
      </c>
      <c r="V65" s="381">
        <v>1</v>
      </c>
      <c r="W65" s="379">
        <v>1</v>
      </c>
      <c r="X65" s="379">
        <v>1</v>
      </c>
      <c r="Y65" s="379">
        <v>1</v>
      </c>
      <c r="Z65" s="379">
        <v>0</v>
      </c>
      <c r="AA65" s="379">
        <v>1</v>
      </c>
      <c r="AB65" s="379">
        <v>1</v>
      </c>
      <c r="AC65" s="379">
        <v>1</v>
      </c>
      <c r="AD65" s="379">
        <v>1</v>
      </c>
      <c r="AE65" s="379">
        <v>1</v>
      </c>
      <c r="AF65" s="380">
        <v>1</v>
      </c>
      <c r="AG65" s="379">
        <v>1</v>
      </c>
      <c r="AH65" s="379">
        <v>1</v>
      </c>
      <c r="AI65" s="381">
        <v>0</v>
      </c>
      <c r="AJ65" s="379">
        <v>1</v>
      </c>
      <c r="AK65" s="379">
        <v>1</v>
      </c>
      <c r="AL65" s="379">
        <v>1</v>
      </c>
      <c r="AM65" s="379">
        <v>1</v>
      </c>
      <c r="AN65" s="380">
        <v>1</v>
      </c>
      <c r="AO65" s="379">
        <v>1</v>
      </c>
      <c r="AP65" s="379">
        <v>1</v>
      </c>
      <c r="AQ65" s="381">
        <v>1</v>
      </c>
      <c r="AR65" s="380">
        <v>1</v>
      </c>
      <c r="AS65" s="379">
        <v>1</v>
      </c>
      <c r="AT65" s="379">
        <v>1</v>
      </c>
      <c r="AU65" s="381">
        <v>1</v>
      </c>
      <c r="AV65" s="379">
        <v>2</v>
      </c>
      <c r="AW65" s="379">
        <v>0</v>
      </c>
      <c r="AX65" s="382">
        <v>3</v>
      </c>
    </row>
    <row r="66" spans="1:50" ht="17.399999999999999" customHeight="1">
      <c r="A66" s="403">
        <v>3253</v>
      </c>
      <c r="B66" s="409" t="s">
        <v>22</v>
      </c>
      <c r="C66" s="409">
        <v>18</v>
      </c>
      <c r="D66" s="405">
        <v>4</v>
      </c>
      <c r="E66" s="410" t="s">
        <v>605</v>
      </c>
      <c r="F66" s="411" t="s">
        <v>48</v>
      </c>
      <c r="G66" s="430">
        <v>43409</v>
      </c>
      <c r="H66" s="377">
        <v>43409</v>
      </c>
      <c r="I66" s="383"/>
      <c r="J66" s="378">
        <v>1</v>
      </c>
      <c r="K66" s="378">
        <v>1.5</v>
      </c>
      <c r="L66" s="378">
        <f t="shared" si="0"/>
        <v>23</v>
      </c>
      <c r="M66" s="408">
        <f t="shared" si="1"/>
        <v>0.6216216216216216</v>
      </c>
      <c r="N66" s="378">
        <v>3</v>
      </c>
      <c r="O66" s="431">
        <v>43410</v>
      </c>
      <c r="P66" s="379"/>
      <c r="Q66" s="380">
        <v>1</v>
      </c>
      <c r="R66" s="379">
        <v>1</v>
      </c>
      <c r="S66" s="379">
        <v>1</v>
      </c>
      <c r="T66" s="379">
        <v>1</v>
      </c>
      <c r="U66" s="379">
        <v>0</v>
      </c>
      <c r="V66" s="381">
        <v>0</v>
      </c>
      <c r="W66" s="379">
        <v>1</v>
      </c>
      <c r="X66" s="379">
        <v>1</v>
      </c>
      <c r="Y66" s="379">
        <v>1</v>
      </c>
      <c r="Z66" s="379">
        <v>1</v>
      </c>
      <c r="AA66" s="379">
        <v>1</v>
      </c>
      <c r="AB66" s="379">
        <v>1</v>
      </c>
      <c r="AC66" s="379">
        <v>0</v>
      </c>
      <c r="AD66" s="379">
        <v>1</v>
      </c>
      <c r="AE66" s="379">
        <v>1</v>
      </c>
      <c r="AF66" s="380">
        <v>1</v>
      </c>
      <c r="AG66" s="379">
        <v>1</v>
      </c>
      <c r="AH66" s="379">
        <v>1</v>
      </c>
      <c r="AI66" s="381">
        <v>0</v>
      </c>
      <c r="AJ66" s="379">
        <v>1</v>
      </c>
      <c r="AK66" s="379">
        <v>1</v>
      </c>
      <c r="AL66" s="379">
        <v>1</v>
      </c>
      <c r="AM66" s="379">
        <v>1</v>
      </c>
      <c r="AN66" s="380">
        <v>0</v>
      </c>
      <c r="AO66" s="379">
        <v>1</v>
      </c>
      <c r="AP66" s="379">
        <v>1</v>
      </c>
      <c r="AQ66" s="381">
        <v>1</v>
      </c>
      <c r="AR66" s="380">
        <v>0</v>
      </c>
      <c r="AS66" s="379">
        <v>0</v>
      </c>
      <c r="AT66" s="379">
        <v>1</v>
      </c>
      <c r="AU66" s="381">
        <v>0</v>
      </c>
      <c r="AV66" s="379">
        <v>0</v>
      </c>
      <c r="AW66" s="379">
        <v>0</v>
      </c>
      <c r="AX66" s="382">
        <v>0</v>
      </c>
    </row>
    <row r="67" spans="1:50" ht="17.399999999999999" customHeight="1">
      <c r="A67" s="403">
        <v>3254</v>
      </c>
      <c r="B67" s="409" t="s">
        <v>22</v>
      </c>
      <c r="C67" s="409">
        <v>19</v>
      </c>
      <c r="D67" s="405">
        <v>4</v>
      </c>
      <c r="E67" s="410" t="s">
        <v>605</v>
      </c>
      <c r="F67" s="411" t="s">
        <v>19</v>
      </c>
      <c r="G67" s="430">
        <v>43409</v>
      </c>
      <c r="H67" s="377">
        <v>43409</v>
      </c>
      <c r="I67" s="383"/>
      <c r="J67" s="378">
        <v>1</v>
      </c>
      <c r="K67" s="378">
        <v>1.5</v>
      </c>
      <c r="L67" s="378">
        <f t="shared" si="0"/>
        <v>26</v>
      </c>
      <c r="M67" s="408">
        <f t="shared" si="1"/>
        <v>0.70270270270270274</v>
      </c>
      <c r="N67" s="378" t="s">
        <v>32</v>
      </c>
      <c r="O67" s="431">
        <v>43410</v>
      </c>
      <c r="P67" s="379">
        <v>-1</v>
      </c>
      <c r="Q67" s="380">
        <v>1</v>
      </c>
      <c r="R67" s="379">
        <v>1</v>
      </c>
      <c r="S67" s="379">
        <v>1</v>
      </c>
      <c r="T67" s="379">
        <v>1</v>
      </c>
      <c r="U67" s="379">
        <v>1</v>
      </c>
      <c r="V67" s="381">
        <v>0</v>
      </c>
      <c r="W67" s="379">
        <v>1</v>
      </c>
      <c r="X67" s="379">
        <v>1</v>
      </c>
      <c r="Y67" s="379">
        <v>0</v>
      </c>
      <c r="Z67" s="379">
        <v>1</v>
      </c>
      <c r="AA67" s="379">
        <v>1</v>
      </c>
      <c r="AB67" s="379">
        <v>0</v>
      </c>
      <c r="AC67" s="379">
        <v>1</v>
      </c>
      <c r="AD67" s="379">
        <v>1</v>
      </c>
      <c r="AE67" s="379">
        <v>1</v>
      </c>
      <c r="AF67" s="380">
        <v>1</v>
      </c>
      <c r="AG67" s="379">
        <v>0</v>
      </c>
      <c r="AH67" s="379">
        <v>0</v>
      </c>
      <c r="AI67" s="381">
        <v>0</v>
      </c>
      <c r="AJ67" s="379">
        <v>1</v>
      </c>
      <c r="AK67" s="379">
        <v>1</v>
      </c>
      <c r="AL67" s="379">
        <v>1</v>
      </c>
      <c r="AM67" s="443">
        <v>1</v>
      </c>
      <c r="AN67" s="380">
        <v>1</v>
      </c>
      <c r="AO67" s="379">
        <v>1</v>
      </c>
      <c r="AP67" s="379">
        <v>1</v>
      </c>
      <c r="AQ67" s="381">
        <v>1</v>
      </c>
      <c r="AR67" s="380">
        <v>1</v>
      </c>
      <c r="AS67" s="379">
        <v>1</v>
      </c>
      <c r="AT67" s="379">
        <v>1</v>
      </c>
      <c r="AU67" s="381">
        <v>1</v>
      </c>
      <c r="AV67" s="379">
        <v>0</v>
      </c>
      <c r="AW67" s="379">
        <v>0</v>
      </c>
      <c r="AX67" s="382">
        <v>2</v>
      </c>
    </row>
    <row r="68" spans="1:50" ht="17.399999999999999" customHeight="1">
      <c r="A68" s="403">
        <v>3255</v>
      </c>
      <c r="B68" s="409" t="s">
        <v>22</v>
      </c>
      <c r="C68" s="409">
        <v>20</v>
      </c>
      <c r="D68" s="405">
        <v>5</v>
      </c>
      <c r="E68" s="410" t="s">
        <v>164</v>
      </c>
      <c r="F68" s="411" t="s">
        <v>127</v>
      </c>
      <c r="G68" s="430">
        <v>43409</v>
      </c>
      <c r="H68" s="377">
        <v>43409</v>
      </c>
      <c r="I68" s="383"/>
      <c r="J68" s="378">
        <v>1</v>
      </c>
      <c r="K68" s="378">
        <v>1.5</v>
      </c>
      <c r="L68" s="378">
        <f t="shared" si="0"/>
        <v>34</v>
      </c>
      <c r="M68" s="408">
        <f t="shared" si="1"/>
        <v>0.91891891891891897</v>
      </c>
      <c r="N68" s="378">
        <v>5</v>
      </c>
      <c r="O68" s="431">
        <v>43411</v>
      </c>
      <c r="P68" s="379"/>
      <c r="Q68" s="380">
        <v>1</v>
      </c>
      <c r="R68" s="379">
        <v>1</v>
      </c>
      <c r="S68" s="379">
        <v>1</v>
      </c>
      <c r="T68" s="379">
        <v>1</v>
      </c>
      <c r="U68" s="379">
        <v>1</v>
      </c>
      <c r="V68" s="381">
        <v>0</v>
      </c>
      <c r="W68" s="379">
        <v>1</v>
      </c>
      <c r="X68" s="379">
        <v>1</v>
      </c>
      <c r="Y68" s="379">
        <v>1</v>
      </c>
      <c r="Z68" s="379">
        <v>1</v>
      </c>
      <c r="AA68" s="379">
        <v>1</v>
      </c>
      <c r="AB68" s="379">
        <v>1</v>
      </c>
      <c r="AC68" s="379">
        <v>1</v>
      </c>
      <c r="AD68" s="379">
        <v>1</v>
      </c>
      <c r="AE68" s="379">
        <v>1</v>
      </c>
      <c r="AF68" s="380">
        <v>1</v>
      </c>
      <c r="AG68" s="379">
        <v>1</v>
      </c>
      <c r="AH68" s="379">
        <v>1</v>
      </c>
      <c r="AI68" s="381">
        <v>1</v>
      </c>
      <c r="AJ68" s="379">
        <v>1</v>
      </c>
      <c r="AK68" s="379">
        <v>1</v>
      </c>
      <c r="AL68" s="379">
        <v>1</v>
      </c>
      <c r="AM68" s="379">
        <v>1</v>
      </c>
      <c r="AN68" s="380">
        <v>1</v>
      </c>
      <c r="AO68" s="379">
        <v>1</v>
      </c>
      <c r="AP68" s="379">
        <v>1</v>
      </c>
      <c r="AQ68" s="381">
        <v>1</v>
      </c>
      <c r="AR68" s="380">
        <v>1</v>
      </c>
      <c r="AS68" s="379">
        <v>1</v>
      </c>
      <c r="AT68" s="379">
        <v>0</v>
      </c>
      <c r="AU68" s="381">
        <v>1</v>
      </c>
      <c r="AV68" s="379">
        <v>2</v>
      </c>
      <c r="AW68" s="379">
        <v>1</v>
      </c>
      <c r="AX68" s="382">
        <v>2</v>
      </c>
    </row>
    <row r="69" spans="1:50" ht="17.399999999999999" customHeight="1">
      <c r="A69" s="403">
        <v>3256</v>
      </c>
      <c r="B69" s="409" t="s">
        <v>22</v>
      </c>
      <c r="C69" s="409">
        <v>21</v>
      </c>
      <c r="D69" s="405">
        <v>4</v>
      </c>
      <c r="E69" s="410" t="s">
        <v>443</v>
      </c>
      <c r="F69" s="411" t="s">
        <v>188</v>
      </c>
      <c r="G69" s="430">
        <v>43409</v>
      </c>
      <c r="H69" s="377">
        <v>43409</v>
      </c>
      <c r="I69" s="383"/>
      <c r="J69" s="378">
        <v>1</v>
      </c>
      <c r="K69" s="378">
        <v>0.15</v>
      </c>
      <c r="L69" s="378">
        <f t="shared" si="0"/>
        <v>20</v>
      </c>
      <c r="M69" s="408">
        <f t="shared" si="1"/>
        <v>0.54054054054054057</v>
      </c>
      <c r="N69" s="378" t="s">
        <v>31</v>
      </c>
      <c r="O69" s="431">
        <v>43410</v>
      </c>
      <c r="P69" s="379"/>
      <c r="Q69" s="380">
        <v>1</v>
      </c>
      <c r="R69" s="379">
        <v>1</v>
      </c>
      <c r="S69" s="379">
        <v>1</v>
      </c>
      <c r="T69" s="379">
        <v>1</v>
      </c>
      <c r="U69" s="379">
        <v>1</v>
      </c>
      <c r="V69" s="381">
        <v>1</v>
      </c>
      <c r="W69" s="379">
        <v>1</v>
      </c>
      <c r="X69" s="379">
        <v>1</v>
      </c>
      <c r="Y69" s="379">
        <v>0</v>
      </c>
      <c r="Z69" s="379">
        <v>1</v>
      </c>
      <c r="AA69" s="379">
        <v>1</v>
      </c>
      <c r="AB69" s="379">
        <v>0</v>
      </c>
      <c r="AC69" s="379">
        <v>1</v>
      </c>
      <c r="AD69" s="379">
        <v>1</v>
      </c>
      <c r="AE69" s="379">
        <v>1</v>
      </c>
      <c r="AF69" s="380">
        <v>0</v>
      </c>
      <c r="AG69" s="379">
        <v>0</v>
      </c>
      <c r="AH69" s="379">
        <v>0</v>
      </c>
      <c r="AI69" s="381">
        <v>0</v>
      </c>
      <c r="AJ69" s="379">
        <v>0</v>
      </c>
      <c r="AK69" s="379">
        <v>1</v>
      </c>
      <c r="AL69" s="379">
        <v>1</v>
      </c>
      <c r="AM69" s="379">
        <v>1</v>
      </c>
      <c r="AN69" s="380">
        <v>1</v>
      </c>
      <c r="AO69" s="379">
        <v>1</v>
      </c>
      <c r="AP69" s="379">
        <v>1</v>
      </c>
      <c r="AQ69" s="381">
        <v>1</v>
      </c>
      <c r="AR69" s="380">
        <v>0</v>
      </c>
      <c r="AS69" s="379">
        <v>0</v>
      </c>
      <c r="AT69" s="379">
        <v>0</v>
      </c>
      <c r="AU69" s="381">
        <v>0</v>
      </c>
      <c r="AV69" s="379">
        <v>0</v>
      </c>
      <c r="AW69" s="379">
        <v>0</v>
      </c>
      <c r="AX69" s="382">
        <v>0</v>
      </c>
    </row>
    <row r="70" spans="1:50" ht="17.399999999999999" customHeight="1">
      <c r="A70" s="457">
        <v>3256</v>
      </c>
      <c r="B70" s="471" t="s">
        <v>22</v>
      </c>
      <c r="C70" s="471">
        <v>21</v>
      </c>
      <c r="D70" s="459">
        <v>4</v>
      </c>
      <c r="E70" s="472" t="s">
        <v>443</v>
      </c>
      <c r="F70" s="473" t="s">
        <v>188</v>
      </c>
      <c r="G70" s="462"/>
      <c r="H70" s="463">
        <v>43430</v>
      </c>
      <c r="I70" s="463"/>
      <c r="J70" s="464">
        <v>2</v>
      </c>
      <c r="K70" s="464">
        <v>1.35</v>
      </c>
      <c r="L70" s="464">
        <f t="shared" si="0"/>
        <v>31</v>
      </c>
      <c r="M70" s="465">
        <f t="shared" si="1"/>
        <v>0.83783783783783783</v>
      </c>
      <c r="N70" s="464" t="s">
        <v>34</v>
      </c>
      <c r="O70" s="466">
        <v>43430</v>
      </c>
      <c r="P70" s="467"/>
      <c r="Q70" s="468">
        <v>1</v>
      </c>
      <c r="R70" s="467">
        <v>1</v>
      </c>
      <c r="S70" s="467">
        <v>1</v>
      </c>
      <c r="T70" s="467">
        <v>1</v>
      </c>
      <c r="U70" s="467">
        <v>1</v>
      </c>
      <c r="V70" s="469">
        <v>1</v>
      </c>
      <c r="W70" s="467">
        <v>1</v>
      </c>
      <c r="X70" s="467">
        <v>1</v>
      </c>
      <c r="Y70" s="467">
        <v>1</v>
      </c>
      <c r="Z70" s="467">
        <v>1</v>
      </c>
      <c r="AA70" s="467">
        <v>1</v>
      </c>
      <c r="AB70" s="467">
        <v>1</v>
      </c>
      <c r="AC70" s="467">
        <v>1</v>
      </c>
      <c r="AD70" s="467">
        <v>1</v>
      </c>
      <c r="AE70" s="467">
        <v>1</v>
      </c>
      <c r="AF70" s="468">
        <v>1</v>
      </c>
      <c r="AG70" s="467">
        <v>1</v>
      </c>
      <c r="AH70" s="467">
        <v>1</v>
      </c>
      <c r="AI70" s="469">
        <v>1</v>
      </c>
      <c r="AJ70" s="467">
        <v>1</v>
      </c>
      <c r="AK70" s="467">
        <v>1</v>
      </c>
      <c r="AL70" s="467">
        <v>1</v>
      </c>
      <c r="AM70" s="467">
        <v>1</v>
      </c>
      <c r="AN70" s="468">
        <v>1</v>
      </c>
      <c r="AO70" s="467">
        <v>1</v>
      </c>
      <c r="AP70" s="467">
        <v>1</v>
      </c>
      <c r="AQ70" s="469">
        <v>1</v>
      </c>
      <c r="AR70" s="468">
        <v>1</v>
      </c>
      <c r="AS70" s="467">
        <v>0</v>
      </c>
      <c r="AT70" s="467">
        <v>1</v>
      </c>
      <c r="AU70" s="469">
        <v>1</v>
      </c>
      <c r="AV70" s="467">
        <v>1</v>
      </c>
      <c r="AW70" s="467">
        <v>0</v>
      </c>
      <c r="AX70" s="470">
        <v>0</v>
      </c>
    </row>
    <row r="71" spans="1:50" ht="17.399999999999999" customHeight="1">
      <c r="A71" s="403">
        <v>3257</v>
      </c>
      <c r="B71" s="409" t="s">
        <v>22</v>
      </c>
      <c r="C71" s="409">
        <v>22</v>
      </c>
      <c r="D71" s="405">
        <v>6</v>
      </c>
      <c r="E71" s="410" t="s">
        <v>445</v>
      </c>
      <c r="F71" s="411" t="s">
        <v>185</v>
      </c>
      <c r="G71" s="430">
        <v>43418</v>
      </c>
      <c r="H71" s="377">
        <v>43418</v>
      </c>
      <c r="I71" s="383" t="s">
        <v>701</v>
      </c>
      <c r="J71" s="378">
        <v>1</v>
      </c>
      <c r="K71" s="378">
        <v>1.5</v>
      </c>
      <c r="L71" s="378">
        <f t="shared" si="0"/>
        <v>1</v>
      </c>
      <c r="M71" s="408">
        <f t="shared" si="1"/>
        <v>2.7027027027027029E-2</v>
      </c>
      <c r="N71" s="378">
        <v>1</v>
      </c>
      <c r="O71" s="431">
        <v>43418</v>
      </c>
      <c r="P71" s="379">
        <v>-24</v>
      </c>
      <c r="Q71" s="380">
        <v>1</v>
      </c>
      <c r="R71" s="379">
        <v>1</v>
      </c>
      <c r="S71" s="379">
        <v>1</v>
      </c>
      <c r="T71" s="379">
        <v>1</v>
      </c>
      <c r="U71" s="379">
        <v>0</v>
      </c>
      <c r="V71" s="381">
        <v>0</v>
      </c>
      <c r="W71" s="379">
        <v>1</v>
      </c>
      <c r="X71" s="379">
        <v>1</v>
      </c>
      <c r="Y71" s="379">
        <v>0</v>
      </c>
      <c r="Z71" s="379">
        <v>1</v>
      </c>
      <c r="AA71" s="379">
        <v>1</v>
      </c>
      <c r="AB71" s="379">
        <v>1</v>
      </c>
      <c r="AC71" s="379">
        <v>1</v>
      </c>
      <c r="AD71" s="379">
        <v>1</v>
      </c>
      <c r="AE71" s="379">
        <v>0</v>
      </c>
      <c r="AF71" s="380">
        <v>0</v>
      </c>
      <c r="AG71" s="379">
        <v>0</v>
      </c>
      <c r="AH71" s="379">
        <v>0</v>
      </c>
      <c r="AI71" s="381">
        <v>0</v>
      </c>
      <c r="AJ71" s="379">
        <v>1</v>
      </c>
      <c r="AK71" s="379">
        <v>1</v>
      </c>
      <c r="AL71" s="379">
        <v>1</v>
      </c>
      <c r="AM71" s="443">
        <v>0</v>
      </c>
      <c r="AN71" s="380">
        <v>1</v>
      </c>
      <c r="AO71" s="443">
        <v>1</v>
      </c>
      <c r="AP71" s="379">
        <v>1</v>
      </c>
      <c r="AQ71" s="381">
        <v>1</v>
      </c>
      <c r="AR71" s="380">
        <v>1</v>
      </c>
      <c r="AS71" s="379">
        <v>1</v>
      </c>
      <c r="AT71" s="443">
        <v>0</v>
      </c>
      <c r="AU71" s="381">
        <v>1</v>
      </c>
      <c r="AV71" s="379">
        <v>2</v>
      </c>
      <c r="AW71" s="379">
        <v>0</v>
      </c>
      <c r="AX71" s="382">
        <v>2</v>
      </c>
    </row>
    <row r="72" spans="1:50" ht="17.399999999999999" customHeight="1">
      <c r="A72" s="403">
        <v>3259</v>
      </c>
      <c r="B72" s="409" t="s">
        <v>22</v>
      </c>
      <c r="C72" s="409">
        <v>23</v>
      </c>
      <c r="D72" s="405">
        <v>5</v>
      </c>
      <c r="E72" s="410" t="s">
        <v>1</v>
      </c>
      <c r="F72" s="411" t="s">
        <v>385</v>
      </c>
      <c r="G72" s="430">
        <v>43409</v>
      </c>
      <c r="H72" s="377">
        <v>43409</v>
      </c>
      <c r="I72" s="383"/>
      <c r="J72" s="378">
        <v>1</v>
      </c>
      <c r="K72" s="378">
        <v>1.5</v>
      </c>
      <c r="L72" s="378">
        <f t="shared" si="0"/>
        <v>19</v>
      </c>
      <c r="M72" s="408">
        <f t="shared" si="1"/>
        <v>0.51351351351351349</v>
      </c>
      <c r="N72" s="378" t="s">
        <v>31</v>
      </c>
      <c r="O72" s="431">
        <v>43411</v>
      </c>
      <c r="P72" s="379"/>
      <c r="Q72" s="380">
        <v>1</v>
      </c>
      <c r="R72" s="379">
        <v>1</v>
      </c>
      <c r="S72" s="379">
        <v>1</v>
      </c>
      <c r="T72" s="379">
        <v>1</v>
      </c>
      <c r="U72" s="379">
        <v>0</v>
      </c>
      <c r="V72" s="381">
        <v>0</v>
      </c>
      <c r="W72" s="379">
        <v>1</v>
      </c>
      <c r="X72" s="379">
        <v>1</v>
      </c>
      <c r="Y72" s="379">
        <v>0</v>
      </c>
      <c r="Z72" s="379">
        <v>0</v>
      </c>
      <c r="AA72" s="379">
        <v>0</v>
      </c>
      <c r="AB72" s="379">
        <v>0</v>
      </c>
      <c r="AC72" s="379">
        <v>1</v>
      </c>
      <c r="AD72" s="379">
        <v>1</v>
      </c>
      <c r="AE72" s="379">
        <v>0</v>
      </c>
      <c r="AF72" s="380">
        <v>0</v>
      </c>
      <c r="AG72" s="379">
        <v>0</v>
      </c>
      <c r="AH72" s="379">
        <v>0</v>
      </c>
      <c r="AI72" s="381">
        <v>0</v>
      </c>
      <c r="AJ72" s="379">
        <v>1</v>
      </c>
      <c r="AK72" s="379">
        <v>0</v>
      </c>
      <c r="AL72" s="379">
        <v>1</v>
      </c>
      <c r="AM72" s="379">
        <v>1</v>
      </c>
      <c r="AN72" s="380">
        <v>0</v>
      </c>
      <c r="AO72" s="379">
        <v>0</v>
      </c>
      <c r="AP72" s="379">
        <v>1</v>
      </c>
      <c r="AQ72" s="381">
        <v>1</v>
      </c>
      <c r="AR72" s="380">
        <v>1</v>
      </c>
      <c r="AS72" s="379">
        <v>1</v>
      </c>
      <c r="AT72" s="379">
        <v>1</v>
      </c>
      <c r="AU72" s="381">
        <v>1</v>
      </c>
      <c r="AV72" s="379">
        <v>0</v>
      </c>
      <c r="AW72" s="379">
        <v>1</v>
      </c>
      <c r="AX72" s="382">
        <v>1</v>
      </c>
    </row>
    <row r="73" spans="1:50" ht="17.399999999999999" customHeight="1">
      <c r="A73" s="403">
        <v>3260</v>
      </c>
      <c r="B73" s="409" t="s">
        <v>22</v>
      </c>
      <c r="C73" s="409">
        <v>24</v>
      </c>
      <c r="D73" s="405">
        <v>6</v>
      </c>
      <c r="E73" s="410" t="s">
        <v>60</v>
      </c>
      <c r="F73" s="411" t="s">
        <v>47</v>
      </c>
      <c r="G73" s="430">
        <v>43418</v>
      </c>
      <c r="H73" s="377">
        <v>43418</v>
      </c>
      <c r="I73" s="383"/>
      <c r="J73" s="378">
        <v>1</v>
      </c>
      <c r="K73" s="378">
        <v>1.5</v>
      </c>
      <c r="L73" s="378">
        <f t="shared" si="0"/>
        <v>20</v>
      </c>
      <c r="M73" s="408">
        <f t="shared" si="1"/>
        <v>0.54054054054054057</v>
      </c>
      <c r="N73" s="378" t="s">
        <v>31</v>
      </c>
      <c r="O73" s="431">
        <v>43418</v>
      </c>
      <c r="P73" s="379"/>
      <c r="Q73" s="380">
        <v>1</v>
      </c>
      <c r="R73" s="379">
        <v>1</v>
      </c>
      <c r="S73" s="379">
        <v>1</v>
      </c>
      <c r="T73" s="379">
        <v>1</v>
      </c>
      <c r="U73" s="379">
        <v>1</v>
      </c>
      <c r="V73" s="381">
        <v>0</v>
      </c>
      <c r="W73" s="379">
        <v>1</v>
      </c>
      <c r="X73" s="379">
        <v>1</v>
      </c>
      <c r="Y73" s="379">
        <v>1</v>
      </c>
      <c r="Z73" s="379">
        <v>0</v>
      </c>
      <c r="AA73" s="379">
        <v>1</v>
      </c>
      <c r="AB73" s="379">
        <v>1</v>
      </c>
      <c r="AC73" s="379">
        <v>0</v>
      </c>
      <c r="AD73" s="379">
        <v>1</v>
      </c>
      <c r="AE73" s="379">
        <v>1</v>
      </c>
      <c r="AF73" s="380">
        <v>0</v>
      </c>
      <c r="AG73" s="379">
        <v>1</v>
      </c>
      <c r="AH73" s="379">
        <v>0</v>
      </c>
      <c r="AI73" s="381">
        <v>0</v>
      </c>
      <c r="AJ73" s="379">
        <v>1</v>
      </c>
      <c r="AK73" s="379">
        <v>1</v>
      </c>
      <c r="AL73" s="379">
        <v>1</v>
      </c>
      <c r="AM73" s="379">
        <v>1</v>
      </c>
      <c r="AN73" s="380">
        <v>1</v>
      </c>
      <c r="AO73" s="379">
        <v>0</v>
      </c>
      <c r="AP73" s="379">
        <v>1</v>
      </c>
      <c r="AQ73" s="381">
        <v>1</v>
      </c>
      <c r="AR73" s="380">
        <v>0</v>
      </c>
      <c r="AS73" s="379">
        <v>0</v>
      </c>
      <c r="AT73" s="379">
        <v>0</v>
      </c>
      <c r="AU73" s="381">
        <v>0</v>
      </c>
      <c r="AV73" s="379">
        <v>0</v>
      </c>
      <c r="AW73" s="379">
        <v>0</v>
      </c>
      <c r="AX73" s="382">
        <v>0</v>
      </c>
    </row>
    <row r="74" spans="1:50" ht="17.399999999999999" customHeight="1">
      <c r="A74" s="403">
        <v>3258</v>
      </c>
      <c r="B74" s="409" t="s">
        <v>22</v>
      </c>
      <c r="C74" s="409">
        <v>25</v>
      </c>
      <c r="D74" s="405">
        <v>6</v>
      </c>
      <c r="E74" s="410" t="s">
        <v>585</v>
      </c>
      <c r="F74" s="411" t="s">
        <v>82</v>
      </c>
      <c r="G74" s="430">
        <v>43418</v>
      </c>
      <c r="H74" s="377">
        <v>43418</v>
      </c>
      <c r="I74" s="383" t="s">
        <v>700</v>
      </c>
      <c r="J74" s="378">
        <v>1</v>
      </c>
      <c r="K74" s="378">
        <v>0.25</v>
      </c>
      <c r="L74" s="378">
        <f t="shared" ref="L74:L143" si="4">SUM(P74:AX74)</f>
        <v>3</v>
      </c>
      <c r="M74" s="408">
        <f t="shared" ref="M74:M143" si="5">L74/$L$2</f>
        <v>8.1081081081081086E-2</v>
      </c>
      <c r="N74" s="378">
        <v>1</v>
      </c>
      <c r="O74" s="431">
        <v>43418</v>
      </c>
      <c r="P74" s="379">
        <v>-10</v>
      </c>
      <c r="Q74" s="380">
        <v>1</v>
      </c>
      <c r="R74" s="379">
        <v>1</v>
      </c>
      <c r="S74" s="379">
        <v>0</v>
      </c>
      <c r="T74" s="379">
        <v>1</v>
      </c>
      <c r="U74" s="379">
        <v>0</v>
      </c>
      <c r="V74" s="381">
        <v>0</v>
      </c>
      <c r="W74" s="379">
        <v>1</v>
      </c>
      <c r="X74" s="379">
        <v>1</v>
      </c>
      <c r="Y74" s="379">
        <v>0</v>
      </c>
      <c r="Z74" s="379">
        <v>0</v>
      </c>
      <c r="AA74" s="379">
        <v>0</v>
      </c>
      <c r="AB74" s="379">
        <v>0</v>
      </c>
      <c r="AC74" s="443">
        <v>0</v>
      </c>
      <c r="AD74" s="379">
        <v>1</v>
      </c>
      <c r="AE74" s="379">
        <v>0</v>
      </c>
      <c r="AF74" s="380">
        <v>1</v>
      </c>
      <c r="AG74" s="379">
        <v>0</v>
      </c>
      <c r="AH74" s="379">
        <v>1</v>
      </c>
      <c r="AI74" s="381">
        <v>0</v>
      </c>
      <c r="AJ74" s="379">
        <v>1</v>
      </c>
      <c r="AK74" s="379">
        <v>0</v>
      </c>
      <c r="AL74" s="379">
        <v>1</v>
      </c>
      <c r="AM74" s="379">
        <v>0</v>
      </c>
      <c r="AN74" s="380">
        <v>0</v>
      </c>
      <c r="AO74" s="379">
        <v>0</v>
      </c>
      <c r="AP74" s="379">
        <v>1</v>
      </c>
      <c r="AQ74" s="381">
        <v>0</v>
      </c>
      <c r="AR74" s="380">
        <v>1</v>
      </c>
      <c r="AS74" s="379">
        <v>1</v>
      </c>
      <c r="AT74" s="379">
        <v>0</v>
      </c>
      <c r="AU74" s="381">
        <v>0</v>
      </c>
      <c r="AV74" s="379">
        <v>0</v>
      </c>
      <c r="AW74" s="379">
        <v>0</v>
      </c>
      <c r="AX74" s="382">
        <v>0</v>
      </c>
    </row>
    <row r="75" spans="1:50" ht="17.399999999999999" customHeight="1">
      <c r="A75" s="457">
        <v>3258</v>
      </c>
      <c r="B75" s="471" t="s">
        <v>22</v>
      </c>
      <c r="C75" s="471">
        <v>25</v>
      </c>
      <c r="D75" s="459">
        <v>6</v>
      </c>
      <c r="E75" s="472" t="s">
        <v>585</v>
      </c>
      <c r="F75" s="473" t="s">
        <v>82</v>
      </c>
      <c r="G75" s="462"/>
      <c r="H75" s="463">
        <v>43444</v>
      </c>
      <c r="I75" s="463"/>
      <c r="J75" s="464">
        <v>2</v>
      </c>
      <c r="K75" s="464">
        <v>1.25</v>
      </c>
      <c r="L75" s="464">
        <f t="shared" si="4"/>
        <v>17</v>
      </c>
      <c r="M75" s="465">
        <f t="shared" si="5"/>
        <v>0.45945945945945948</v>
      </c>
      <c r="N75" s="464" t="s">
        <v>35</v>
      </c>
      <c r="O75" s="466">
        <v>43447</v>
      </c>
      <c r="P75" s="467">
        <v>-5</v>
      </c>
      <c r="Q75" s="468">
        <v>1</v>
      </c>
      <c r="R75" s="467">
        <v>1</v>
      </c>
      <c r="S75" s="467">
        <v>1</v>
      </c>
      <c r="T75" s="467">
        <v>1</v>
      </c>
      <c r="U75" s="467">
        <v>0</v>
      </c>
      <c r="V75" s="469">
        <v>0</v>
      </c>
      <c r="W75" s="467">
        <v>1</v>
      </c>
      <c r="X75" s="467">
        <v>1</v>
      </c>
      <c r="Y75" s="467">
        <v>1</v>
      </c>
      <c r="Z75" s="467">
        <v>1</v>
      </c>
      <c r="AA75" s="467">
        <v>1</v>
      </c>
      <c r="AB75" s="467">
        <v>1</v>
      </c>
      <c r="AC75" s="467">
        <v>0</v>
      </c>
      <c r="AD75" s="467">
        <v>1</v>
      </c>
      <c r="AE75" s="467">
        <v>1</v>
      </c>
      <c r="AF75" s="468">
        <v>1</v>
      </c>
      <c r="AG75" s="467">
        <v>1</v>
      </c>
      <c r="AH75" s="467">
        <v>1</v>
      </c>
      <c r="AI75" s="469">
        <v>0</v>
      </c>
      <c r="AJ75" s="467">
        <v>1</v>
      </c>
      <c r="AK75" s="467">
        <v>1</v>
      </c>
      <c r="AL75" s="467">
        <v>1</v>
      </c>
      <c r="AM75" s="467">
        <v>1</v>
      </c>
      <c r="AN75" s="468">
        <v>0</v>
      </c>
      <c r="AO75" s="467">
        <v>1</v>
      </c>
      <c r="AP75" s="467">
        <v>1</v>
      </c>
      <c r="AQ75" s="469">
        <v>1</v>
      </c>
      <c r="AR75" s="468">
        <v>0</v>
      </c>
      <c r="AS75" s="467">
        <v>0</v>
      </c>
      <c r="AT75" s="474">
        <v>0</v>
      </c>
      <c r="AU75" s="469">
        <v>0</v>
      </c>
      <c r="AV75" s="467">
        <v>0</v>
      </c>
      <c r="AW75" s="467">
        <v>0</v>
      </c>
      <c r="AX75" s="470">
        <v>0</v>
      </c>
    </row>
    <row r="76" spans="1:50" ht="17.399999999999999" customHeight="1">
      <c r="A76" s="403">
        <v>3261</v>
      </c>
      <c r="B76" s="409" t="s">
        <v>22</v>
      </c>
      <c r="C76" s="409">
        <v>26</v>
      </c>
      <c r="D76" s="405">
        <v>5</v>
      </c>
      <c r="E76" s="410" t="s">
        <v>585</v>
      </c>
      <c r="F76" s="411" t="s">
        <v>185</v>
      </c>
      <c r="G76" s="430">
        <v>43409</v>
      </c>
      <c r="H76" s="377">
        <v>43409</v>
      </c>
      <c r="I76" s="383"/>
      <c r="J76" s="378">
        <v>1</v>
      </c>
      <c r="K76" s="378">
        <v>1.5</v>
      </c>
      <c r="L76" s="378">
        <f t="shared" si="4"/>
        <v>37</v>
      </c>
      <c r="M76" s="408">
        <f t="shared" si="5"/>
        <v>1</v>
      </c>
      <c r="N76" s="378">
        <v>6</v>
      </c>
      <c r="O76" s="431">
        <v>43411</v>
      </c>
      <c r="P76" s="379"/>
      <c r="Q76" s="380">
        <v>1</v>
      </c>
      <c r="R76" s="379">
        <v>1</v>
      </c>
      <c r="S76" s="379">
        <v>1</v>
      </c>
      <c r="T76" s="379">
        <v>1</v>
      </c>
      <c r="U76" s="379">
        <v>1</v>
      </c>
      <c r="V76" s="381">
        <v>1</v>
      </c>
      <c r="W76" s="379">
        <v>1</v>
      </c>
      <c r="X76" s="379">
        <v>1</v>
      </c>
      <c r="Y76" s="379">
        <v>1</v>
      </c>
      <c r="Z76" s="379">
        <v>1</v>
      </c>
      <c r="AA76" s="379">
        <v>1</v>
      </c>
      <c r="AB76" s="379">
        <v>1</v>
      </c>
      <c r="AC76" s="379">
        <v>1</v>
      </c>
      <c r="AD76" s="379">
        <v>1</v>
      </c>
      <c r="AE76" s="379">
        <v>1</v>
      </c>
      <c r="AF76" s="380">
        <v>1</v>
      </c>
      <c r="AG76" s="379">
        <v>1</v>
      </c>
      <c r="AH76" s="379">
        <v>1</v>
      </c>
      <c r="AI76" s="381">
        <v>1</v>
      </c>
      <c r="AJ76" s="379">
        <v>1</v>
      </c>
      <c r="AK76" s="379">
        <v>1</v>
      </c>
      <c r="AL76" s="379">
        <v>1</v>
      </c>
      <c r="AM76" s="379">
        <v>1</v>
      </c>
      <c r="AN76" s="380">
        <v>1</v>
      </c>
      <c r="AO76" s="379">
        <v>1</v>
      </c>
      <c r="AP76" s="379">
        <v>1</v>
      </c>
      <c r="AQ76" s="381">
        <v>1</v>
      </c>
      <c r="AR76" s="380">
        <v>1</v>
      </c>
      <c r="AS76" s="379">
        <v>1</v>
      </c>
      <c r="AT76" s="379">
        <v>1</v>
      </c>
      <c r="AU76" s="381">
        <v>1</v>
      </c>
      <c r="AV76" s="379">
        <v>2</v>
      </c>
      <c r="AW76" s="379">
        <v>1</v>
      </c>
      <c r="AX76" s="382">
        <v>3</v>
      </c>
    </row>
    <row r="77" spans="1:50" ht="17.399999999999999" customHeight="1">
      <c r="A77" s="403">
        <v>3262</v>
      </c>
      <c r="B77" s="409" t="s">
        <v>22</v>
      </c>
      <c r="C77" s="409">
        <v>27</v>
      </c>
      <c r="D77" s="405">
        <v>5</v>
      </c>
      <c r="E77" s="410" t="s">
        <v>606</v>
      </c>
      <c r="F77" s="411" t="s">
        <v>128</v>
      </c>
      <c r="G77" s="430">
        <v>43402</v>
      </c>
      <c r="H77" s="377">
        <v>43402</v>
      </c>
      <c r="I77" s="383"/>
      <c r="J77" s="378">
        <v>1</v>
      </c>
      <c r="K77" s="378">
        <v>1.5</v>
      </c>
      <c r="L77" s="378">
        <f t="shared" si="4"/>
        <v>35</v>
      </c>
      <c r="M77" s="408">
        <f t="shared" si="5"/>
        <v>0.94594594594594594</v>
      </c>
      <c r="N77" s="378">
        <v>5</v>
      </c>
      <c r="O77" s="431">
        <v>43411</v>
      </c>
      <c r="P77" s="379"/>
      <c r="Q77" s="380">
        <v>1</v>
      </c>
      <c r="R77" s="379">
        <v>1</v>
      </c>
      <c r="S77" s="379">
        <v>1</v>
      </c>
      <c r="T77" s="379">
        <v>1</v>
      </c>
      <c r="U77" s="379">
        <v>1</v>
      </c>
      <c r="V77" s="381">
        <v>0</v>
      </c>
      <c r="W77" s="379">
        <v>1</v>
      </c>
      <c r="X77" s="379">
        <v>1</v>
      </c>
      <c r="Y77" s="379">
        <v>1</v>
      </c>
      <c r="Z77" s="379">
        <v>1</v>
      </c>
      <c r="AA77" s="379">
        <v>1</v>
      </c>
      <c r="AB77" s="379">
        <v>1</v>
      </c>
      <c r="AC77" s="379">
        <v>1</v>
      </c>
      <c r="AD77" s="379">
        <v>1</v>
      </c>
      <c r="AE77" s="379">
        <v>1</v>
      </c>
      <c r="AF77" s="380">
        <v>1</v>
      </c>
      <c r="AG77" s="379">
        <v>1</v>
      </c>
      <c r="AH77" s="379">
        <v>1</v>
      </c>
      <c r="AI77" s="381">
        <v>1</v>
      </c>
      <c r="AJ77" s="379">
        <v>1</v>
      </c>
      <c r="AK77" s="379">
        <v>1</v>
      </c>
      <c r="AL77" s="379">
        <v>0</v>
      </c>
      <c r="AM77" s="379">
        <v>1</v>
      </c>
      <c r="AN77" s="380">
        <v>1</v>
      </c>
      <c r="AO77" s="379">
        <v>1</v>
      </c>
      <c r="AP77" s="379">
        <v>1</v>
      </c>
      <c r="AQ77" s="381">
        <v>1</v>
      </c>
      <c r="AR77" s="380">
        <v>1</v>
      </c>
      <c r="AS77" s="379">
        <v>1</v>
      </c>
      <c r="AT77" s="379">
        <v>1</v>
      </c>
      <c r="AU77" s="381">
        <v>1</v>
      </c>
      <c r="AV77" s="379">
        <v>2</v>
      </c>
      <c r="AW77" s="379">
        <v>1</v>
      </c>
      <c r="AX77" s="382">
        <v>3</v>
      </c>
    </row>
    <row r="78" spans="1:50" ht="17.399999999999999" customHeight="1">
      <c r="A78" s="403">
        <v>3263</v>
      </c>
      <c r="B78" s="409" t="s">
        <v>22</v>
      </c>
      <c r="C78" s="409">
        <v>28</v>
      </c>
      <c r="D78" s="405">
        <v>5</v>
      </c>
      <c r="E78" s="410" t="s">
        <v>607</v>
      </c>
      <c r="F78" s="411" t="s">
        <v>48</v>
      </c>
      <c r="G78" s="430">
        <v>43402</v>
      </c>
      <c r="H78" s="377">
        <v>43402</v>
      </c>
      <c r="I78" s="383"/>
      <c r="J78" s="378">
        <v>1</v>
      </c>
      <c r="K78" s="378">
        <v>1.5</v>
      </c>
      <c r="L78" s="378">
        <f t="shared" si="4"/>
        <v>32</v>
      </c>
      <c r="M78" s="408">
        <f t="shared" si="5"/>
        <v>0.86486486486486491</v>
      </c>
      <c r="N78" s="378" t="s">
        <v>33</v>
      </c>
      <c r="O78" s="431">
        <v>43411</v>
      </c>
      <c r="P78" s="379">
        <v>-2</v>
      </c>
      <c r="Q78" s="380">
        <v>1</v>
      </c>
      <c r="R78" s="379">
        <v>1</v>
      </c>
      <c r="S78" s="379">
        <v>1</v>
      </c>
      <c r="T78" s="379">
        <v>1</v>
      </c>
      <c r="U78" s="379">
        <v>0</v>
      </c>
      <c r="V78" s="381">
        <v>1</v>
      </c>
      <c r="W78" s="379">
        <v>1</v>
      </c>
      <c r="X78" s="379">
        <v>1</v>
      </c>
      <c r="Y78" s="379">
        <v>1</v>
      </c>
      <c r="Z78" s="379">
        <v>1</v>
      </c>
      <c r="AA78" s="379">
        <v>1</v>
      </c>
      <c r="AB78" s="379">
        <v>1</v>
      </c>
      <c r="AC78" s="379">
        <v>1</v>
      </c>
      <c r="AD78" s="379">
        <v>1</v>
      </c>
      <c r="AE78" s="379">
        <v>1</v>
      </c>
      <c r="AF78" s="380">
        <v>1</v>
      </c>
      <c r="AG78" s="379">
        <v>1</v>
      </c>
      <c r="AH78" s="379">
        <v>1</v>
      </c>
      <c r="AI78" s="381">
        <v>1</v>
      </c>
      <c r="AJ78" s="379">
        <v>1</v>
      </c>
      <c r="AK78" s="379">
        <v>1</v>
      </c>
      <c r="AL78" s="379">
        <v>1</v>
      </c>
      <c r="AM78" s="379">
        <v>1</v>
      </c>
      <c r="AN78" s="380">
        <v>1</v>
      </c>
      <c r="AO78" s="379">
        <v>1</v>
      </c>
      <c r="AP78" s="379">
        <v>1</v>
      </c>
      <c r="AQ78" s="381">
        <v>1</v>
      </c>
      <c r="AR78" s="380">
        <v>1</v>
      </c>
      <c r="AS78" s="379">
        <v>0</v>
      </c>
      <c r="AT78" s="379">
        <v>0</v>
      </c>
      <c r="AU78" s="381">
        <v>1</v>
      </c>
      <c r="AV78" s="379">
        <v>2</v>
      </c>
      <c r="AW78" s="379">
        <v>1</v>
      </c>
      <c r="AX78" s="382">
        <v>3</v>
      </c>
    </row>
    <row r="79" spans="1:50" ht="17.399999999999999" customHeight="1">
      <c r="A79" s="403">
        <v>3264</v>
      </c>
      <c r="B79" s="409" t="s">
        <v>22</v>
      </c>
      <c r="C79" s="409">
        <v>29</v>
      </c>
      <c r="D79" s="405">
        <v>4</v>
      </c>
      <c r="E79" s="410" t="s">
        <v>110</v>
      </c>
      <c r="F79" s="411" t="s">
        <v>185</v>
      </c>
      <c r="G79" s="430">
        <v>43409</v>
      </c>
      <c r="H79" s="377">
        <v>43409</v>
      </c>
      <c r="I79" s="383"/>
      <c r="J79" s="378">
        <v>1</v>
      </c>
      <c r="K79" s="378">
        <v>0.15</v>
      </c>
      <c r="L79" s="378">
        <f t="shared" si="4"/>
        <v>14</v>
      </c>
      <c r="M79" s="408">
        <f t="shared" si="5"/>
        <v>0.3783783783783784</v>
      </c>
      <c r="N79" s="378">
        <v>2</v>
      </c>
      <c r="O79" s="431">
        <v>43410</v>
      </c>
      <c r="P79" s="379"/>
      <c r="Q79" s="380">
        <v>1</v>
      </c>
      <c r="R79" s="379">
        <v>1</v>
      </c>
      <c r="S79" s="379">
        <v>1</v>
      </c>
      <c r="T79" s="379">
        <v>1</v>
      </c>
      <c r="U79" s="379">
        <v>1</v>
      </c>
      <c r="V79" s="381">
        <v>0</v>
      </c>
      <c r="W79" s="379">
        <v>1</v>
      </c>
      <c r="X79" s="379">
        <v>1</v>
      </c>
      <c r="Y79" s="379">
        <v>1</v>
      </c>
      <c r="Z79" s="379">
        <v>0</v>
      </c>
      <c r="AA79" s="379">
        <v>0</v>
      </c>
      <c r="AB79" s="379">
        <v>1</v>
      </c>
      <c r="AC79" s="379">
        <v>0</v>
      </c>
      <c r="AD79" s="379">
        <v>1</v>
      </c>
      <c r="AE79" s="379">
        <v>0</v>
      </c>
      <c r="AF79" s="380">
        <v>1</v>
      </c>
      <c r="AG79" s="379">
        <v>1</v>
      </c>
      <c r="AH79" s="379">
        <v>0</v>
      </c>
      <c r="AI79" s="381">
        <v>1</v>
      </c>
      <c r="AJ79" s="379">
        <v>0</v>
      </c>
      <c r="AK79" s="379">
        <v>0</v>
      </c>
      <c r="AL79" s="379">
        <v>1</v>
      </c>
      <c r="AM79" s="379">
        <v>0</v>
      </c>
      <c r="AN79" s="380">
        <v>0</v>
      </c>
      <c r="AO79" s="379">
        <v>0</v>
      </c>
      <c r="AP79" s="379">
        <v>0</v>
      </c>
      <c r="AQ79" s="381">
        <v>0</v>
      </c>
      <c r="AR79" s="380">
        <v>0</v>
      </c>
      <c r="AS79" s="379">
        <v>0</v>
      </c>
      <c r="AT79" s="379">
        <v>0</v>
      </c>
      <c r="AU79" s="381">
        <v>0</v>
      </c>
      <c r="AV79" s="379">
        <v>0</v>
      </c>
      <c r="AW79" s="379">
        <v>0</v>
      </c>
      <c r="AX79" s="382">
        <v>0</v>
      </c>
    </row>
    <row r="80" spans="1:50" ht="17.399999999999999" customHeight="1">
      <c r="A80" s="457">
        <v>3264</v>
      </c>
      <c r="B80" s="471" t="s">
        <v>22</v>
      </c>
      <c r="C80" s="471">
        <v>29</v>
      </c>
      <c r="D80" s="459">
        <v>4</v>
      </c>
      <c r="E80" s="472" t="s">
        <v>110</v>
      </c>
      <c r="F80" s="473" t="s">
        <v>185</v>
      </c>
      <c r="G80" s="462"/>
      <c r="H80" s="463">
        <v>43430</v>
      </c>
      <c r="I80" s="463"/>
      <c r="J80" s="464">
        <v>2</v>
      </c>
      <c r="K80" s="464">
        <v>1.35</v>
      </c>
      <c r="L80" s="464">
        <f t="shared" si="4"/>
        <v>19</v>
      </c>
      <c r="M80" s="465">
        <f t="shared" si="5"/>
        <v>0.51351351351351349</v>
      </c>
      <c r="N80" s="464" t="s">
        <v>31</v>
      </c>
      <c r="O80" s="466">
        <v>43430</v>
      </c>
      <c r="P80" s="467"/>
      <c r="Q80" s="468">
        <v>1</v>
      </c>
      <c r="R80" s="467">
        <v>1</v>
      </c>
      <c r="S80" s="467">
        <v>1</v>
      </c>
      <c r="T80" s="467">
        <v>1</v>
      </c>
      <c r="U80" s="467">
        <v>0</v>
      </c>
      <c r="V80" s="469">
        <v>0</v>
      </c>
      <c r="W80" s="467">
        <v>0</v>
      </c>
      <c r="X80" s="467">
        <v>1</v>
      </c>
      <c r="Y80" s="467">
        <v>1</v>
      </c>
      <c r="Z80" s="467">
        <v>1</v>
      </c>
      <c r="AA80" s="467">
        <v>0</v>
      </c>
      <c r="AB80" s="467">
        <v>1</v>
      </c>
      <c r="AC80" s="467">
        <v>0</v>
      </c>
      <c r="AD80" s="467">
        <v>1</v>
      </c>
      <c r="AE80" s="467">
        <v>1</v>
      </c>
      <c r="AF80" s="468">
        <v>0</v>
      </c>
      <c r="AG80" s="467">
        <v>0</v>
      </c>
      <c r="AH80" s="467">
        <v>1</v>
      </c>
      <c r="AI80" s="469">
        <v>1</v>
      </c>
      <c r="AJ80" s="467">
        <v>1</v>
      </c>
      <c r="AK80" s="467">
        <v>1</v>
      </c>
      <c r="AL80" s="467">
        <v>1</v>
      </c>
      <c r="AM80" s="467">
        <v>1</v>
      </c>
      <c r="AN80" s="468">
        <v>1</v>
      </c>
      <c r="AO80" s="467">
        <v>1</v>
      </c>
      <c r="AP80" s="467">
        <v>1</v>
      </c>
      <c r="AQ80" s="469">
        <v>0</v>
      </c>
      <c r="AR80" s="468">
        <v>0</v>
      </c>
      <c r="AS80" s="467">
        <v>0</v>
      </c>
      <c r="AT80" s="467">
        <v>0</v>
      </c>
      <c r="AU80" s="469">
        <v>0</v>
      </c>
      <c r="AV80" s="467">
        <v>0</v>
      </c>
      <c r="AW80" s="467">
        <v>0</v>
      </c>
      <c r="AX80" s="470">
        <v>0</v>
      </c>
    </row>
    <row r="81" spans="1:50" ht="17.399999999999999" customHeight="1">
      <c r="A81" s="403">
        <v>3265</v>
      </c>
      <c r="B81" s="409" t="s">
        <v>22</v>
      </c>
      <c r="C81" s="409">
        <v>30</v>
      </c>
      <c r="D81" s="405">
        <v>6</v>
      </c>
      <c r="E81" s="410" t="s">
        <v>608</v>
      </c>
      <c r="F81" s="411" t="s">
        <v>47</v>
      </c>
      <c r="G81" s="430">
        <v>43418</v>
      </c>
      <c r="H81" s="377">
        <v>43418</v>
      </c>
      <c r="I81" s="383"/>
      <c r="J81" s="378">
        <v>1</v>
      </c>
      <c r="K81" s="378">
        <v>1.5</v>
      </c>
      <c r="L81" s="378">
        <f t="shared" si="4"/>
        <v>24</v>
      </c>
      <c r="M81" s="408">
        <f t="shared" si="5"/>
        <v>0.64864864864864868</v>
      </c>
      <c r="N81" s="378">
        <v>3</v>
      </c>
      <c r="O81" s="431">
        <v>43418</v>
      </c>
      <c r="P81" s="379">
        <v>-2</v>
      </c>
      <c r="Q81" s="444">
        <v>1</v>
      </c>
      <c r="R81" s="379">
        <v>1</v>
      </c>
      <c r="S81" s="379">
        <v>1</v>
      </c>
      <c r="T81" s="379">
        <v>0</v>
      </c>
      <c r="U81" s="379">
        <v>0</v>
      </c>
      <c r="V81" s="381">
        <v>0</v>
      </c>
      <c r="W81" s="379">
        <v>1</v>
      </c>
      <c r="X81" s="379">
        <v>1</v>
      </c>
      <c r="Y81" s="379">
        <v>1</v>
      </c>
      <c r="Z81" s="379">
        <v>1</v>
      </c>
      <c r="AA81" s="379">
        <v>1</v>
      </c>
      <c r="AB81" s="379">
        <v>1</v>
      </c>
      <c r="AC81" s="379">
        <v>0</v>
      </c>
      <c r="AD81" s="379">
        <v>1</v>
      </c>
      <c r="AE81" s="379">
        <v>1</v>
      </c>
      <c r="AF81" s="380">
        <v>1</v>
      </c>
      <c r="AG81" s="379">
        <v>1</v>
      </c>
      <c r="AH81" s="379">
        <v>1</v>
      </c>
      <c r="AI81" s="381">
        <v>1</v>
      </c>
      <c r="AJ81" s="379">
        <v>1</v>
      </c>
      <c r="AK81" s="379">
        <v>1</v>
      </c>
      <c r="AL81" s="379">
        <v>1</v>
      </c>
      <c r="AM81" s="379">
        <v>1</v>
      </c>
      <c r="AN81" s="380">
        <v>1</v>
      </c>
      <c r="AO81" s="379">
        <v>1</v>
      </c>
      <c r="AP81" s="379">
        <v>1</v>
      </c>
      <c r="AQ81" s="381">
        <v>1</v>
      </c>
      <c r="AR81" s="380">
        <v>1</v>
      </c>
      <c r="AS81" s="379">
        <v>1</v>
      </c>
      <c r="AT81" s="379">
        <v>0</v>
      </c>
      <c r="AU81" s="381">
        <v>1</v>
      </c>
      <c r="AV81" s="379">
        <v>0</v>
      </c>
      <c r="AW81" s="379">
        <v>0</v>
      </c>
      <c r="AX81" s="382">
        <v>0</v>
      </c>
    </row>
    <row r="82" spans="1:50" ht="17.399999999999999" customHeight="1">
      <c r="A82" s="403">
        <v>3266</v>
      </c>
      <c r="B82" s="409" t="s">
        <v>22</v>
      </c>
      <c r="C82" s="409">
        <v>31</v>
      </c>
      <c r="D82" s="405">
        <v>6</v>
      </c>
      <c r="E82" s="410" t="s">
        <v>609</v>
      </c>
      <c r="F82" s="411" t="s">
        <v>379</v>
      </c>
      <c r="G82" s="430">
        <v>43418</v>
      </c>
      <c r="H82" s="377">
        <v>43418</v>
      </c>
      <c r="I82" s="383"/>
      <c r="J82" s="378">
        <v>1</v>
      </c>
      <c r="K82" s="378">
        <v>1.5</v>
      </c>
      <c r="L82" s="378">
        <f t="shared" si="4"/>
        <v>21</v>
      </c>
      <c r="M82" s="408">
        <f t="shared" si="5"/>
        <v>0.56756756756756754</v>
      </c>
      <c r="N82" s="378">
        <v>3</v>
      </c>
      <c r="O82" s="431">
        <v>43418</v>
      </c>
      <c r="P82" s="379"/>
      <c r="Q82" s="380">
        <v>1</v>
      </c>
      <c r="R82" s="379">
        <v>0</v>
      </c>
      <c r="S82" s="379">
        <v>0</v>
      </c>
      <c r="T82" s="379">
        <v>1</v>
      </c>
      <c r="U82" s="379">
        <v>1</v>
      </c>
      <c r="V82" s="381">
        <v>1</v>
      </c>
      <c r="W82" s="379">
        <v>1</v>
      </c>
      <c r="X82" s="379">
        <v>1</v>
      </c>
      <c r="Y82" s="379">
        <v>1</v>
      </c>
      <c r="Z82" s="379">
        <v>0</v>
      </c>
      <c r="AA82" s="379">
        <v>1</v>
      </c>
      <c r="AB82" s="379">
        <v>1</v>
      </c>
      <c r="AC82" s="379">
        <v>0</v>
      </c>
      <c r="AD82" s="379">
        <v>1</v>
      </c>
      <c r="AE82" s="379">
        <v>0</v>
      </c>
      <c r="AF82" s="380">
        <v>0</v>
      </c>
      <c r="AG82" s="379">
        <v>0</v>
      </c>
      <c r="AH82" s="379">
        <v>1</v>
      </c>
      <c r="AI82" s="381">
        <v>0</v>
      </c>
      <c r="AJ82" s="379">
        <v>1</v>
      </c>
      <c r="AK82" s="379">
        <v>1</v>
      </c>
      <c r="AL82" s="379">
        <v>1</v>
      </c>
      <c r="AM82" s="379">
        <v>1</v>
      </c>
      <c r="AN82" s="380">
        <v>1</v>
      </c>
      <c r="AO82" s="379">
        <v>1</v>
      </c>
      <c r="AP82" s="379">
        <v>1</v>
      </c>
      <c r="AQ82" s="381">
        <v>0</v>
      </c>
      <c r="AR82" s="380">
        <v>1</v>
      </c>
      <c r="AS82" s="379">
        <v>0</v>
      </c>
      <c r="AT82" s="379">
        <v>1</v>
      </c>
      <c r="AU82" s="381">
        <v>0</v>
      </c>
      <c r="AV82" s="379">
        <v>0</v>
      </c>
      <c r="AW82" s="379">
        <v>0</v>
      </c>
      <c r="AX82" s="382">
        <v>1</v>
      </c>
    </row>
    <row r="83" spans="1:50" ht="17.399999999999999" customHeight="1">
      <c r="A83" s="403">
        <v>3267</v>
      </c>
      <c r="B83" s="409" t="s">
        <v>22</v>
      </c>
      <c r="C83" s="409">
        <v>32</v>
      </c>
      <c r="D83" s="405">
        <v>4</v>
      </c>
      <c r="E83" s="410" t="s">
        <v>610</v>
      </c>
      <c r="F83" s="411" t="s">
        <v>79</v>
      </c>
      <c r="G83" s="430">
        <v>43409</v>
      </c>
      <c r="H83" s="377">
        <v>43409</v>
      </c>
      <c r="I83" s="383"/>
      <c r="J83" s="378">
        <v>1</v>
      </c>
      <c r="K83" s="378">
        <v>1.4</v>
      </c>
      <c r="L83" s="378">
        <f t="shared" si="4"/>
        <v>19</v>
      </c>
      <c r="M83" s="408">
        <f t="shared" si="5"/>
        <v>0.51351351351351349</v>
      </c>
      <c r="N83" s="378" t="s">
        <v>31</v>
      </c>
      <c r="O83" s="431">
        <v>43410</v>
      </c>
      <c r="P83" s="379"/>
      <c r="Q83" s="380">
        <v>1</v>
      </c>
      <c r="R83" s="379">
        <v>0</v>
      </c>
      <c r="S83" s="379">
        <v>0</v>
      </c>
      <c r="T83" s="379">
        <v>1</v>
      </c>
      <c r="U83" s="379">
        <v>0</v>
      </c>
      <c r="V83" s="381">
        <v>0</v>
      </c>
      <c r="W83" s="379">
        <v>1</v>
      </c>
      <c r="X83" s="379">
        <v>1</v>
      </c>
      <c r="Y83" s="379">
        <v>0</v>
      </c>
      <c r="Z83" s="379">
        <v>0</v>
      </c>
      <c r="AA83" s="379">
        <v>1</v>
      </c>
      <c r="AB83" s="379">
        <v>1</v>
      </c>
      <c r="AC83" s="379">
        <v>1</v>
      </c>
      <c r="AD83" s="379">
        <v>1</v>
      </c>
      <c r="AE83" s="379">
        <v>0</v>
      </c>
      <c r="AF83" s="380">
        <v>0</v>
      </c>
      <c r="AG83" s="379">
        <v>0</v>
      </c>
      <c r="AH83" s="379">
        <v>0</v>
      </c>
      <c r="AI83" s="381">
        <v>0</v>
      </c>
      <c r="AJ83" s="379">
        <v>1</v>
      </c>
      <c r="AK83" s="379">
        <v>1</v>
      </c>
      <c r="AL83" s="379">
        <v>0</v>
      </c>
      <c r="AM83" s="379">
        <v>0</v>
      </c>
      <c r="AN83" s="380">
        <v>0</v>
      </c>
      <c r="AO83" s="379">
        <v>0</v>
      </c>
      <c r="AP83" s="379">
        <v>1</v>
      </c>
      <c r="AQ83" s="381">
        <v>1</v>
      </c>
      <c r="AR83" s="380">
        <v>1</v>
      </c>
      <c r="AS83" s="379">
        <v>1</v>
      </c>
      <c r="AT83" s="379">
        <v>1</v>
      </c>
      <c r="AU83" s="381">
        <v>0</v>
      </c>
      <c r="AV83" s="379">
        <v>0</v>
      </c>
      <c r="AW83" s="379">
        <v>1</v>
      </c>
      <c r="AX83" s="382">
        <v>3</v>
      </c>
    </row>
    <row r="84" spans="1:50" ht="17.399999999999999" customHeight="1">
      <c r="A84" s="457">
        <v>3267</v>
      </c>
      <c r="B84" s="471" t="s">
        <v>22</v>
      </c>
      <c r="C84" s="471">
        <v>32</v>
      </c>
      <c r="D84" s="459">
        <v>4</v>
      </c>
      <c r="E84" s="472" t="s">
        <v>610</v>
      </c>
      <c r="F84" s="473" t="s">
        <v>79</v>
      </c>
      <c r="G84" s="475"/>
      <c r="H84" s="476">
        <v>43430</v>
      </c>
      <c r="I84" s="476"/>
      <c r="J84" s="464">
        <v>2</v>
      </c>
      <c r="K84" s="464">
        <v>0.1</v>
      </c>
      <c r="L84" s="464">
        <f t="shared" si="4"/>
        <v>8</v>
      </c>
      <c r="M84" s="465">
        <f t="shared" si="5"/>
        <v>0.21621621621621623</v>
      </c>
      <c r="N84" s="477">
        <v>1</v>
      </c>
      <c r="O84" s="478">
        <v>43430</v>
      </c>
      <c r="P84" s="479">
        <v>-5</v>
      </c>
      <c r="Q84" s="480">
        <v>1</v>
      </c>
      <c r="R84" s="479">
        <v>0</v>
      </c>
      <c r="S84" s="479">
        <v>0</v>
      </c>
      <c r="T84" s="479">
        <v>1</v>
      </c>
      <c r="U84" s="479">
        <v>0</v>
      </c>
      <c r="V84" s="481">
        <v>0</v>
      </c>
      <c r="W84" s="479">
        <v>1</v>
      </c>
      <c r="X84" s="479">
        <v>1</v>
      </c>
      <c r="Y84" s="479">
        <v>0</v>
      </c>
      <c r="Z84" s="479">
        <v>0</v>
      </c>
      <c r="AA84" s="479">
        <v>1</v>
      </c>
      <c r="AB84" s="479">
        <v>0</v>
      </c>
      <c r="AC84" s="479">
        <v>0</v>
      </c>
      <c r="AD84" s="479">
        <v>1</v>
      </c>
      <c r="AE84" s="479">
        <v>0</v>
      </c>
      <c r="AF84" s="480">
        <v>0</v>
      </c>
      <c r="AG84" s="479">
        <v>0</v>
      </c>
      <c r="AH84" s="479">
        <v>0</v>
      </c>
      <c r="AI84" s="481">
        <v>1</v>
      </c>
      <c r="AJ84" s="479">
        <v>1</v>
      </c>
      <c r="AK84" s="479">
        <v>1</v>
      </c>
      <c r="AL84" s="479">
        <v>0</v>
      </c>
      <c r="AM84" s="479">
        <v>0</v>
      </c>
      <c r="AN84" s="480">
        <v>1</v>
      </c>
      <c r="AO84" s="479">
        <v>0</v>
      </c>
      <c r="AP84" s="479">
        <v>1</v>
      </c>
      <c r="AQ84" s="481">
        <v>1</v>
      </c>
      <c r="AR84" s="484">
        <v>0</v>
      </c>
      <c r="AS84" s="483">
        <v>0</v>
      </c>
      <c r="AT84" s="479">
        <v>0</v>
      </c>
      <c r="AU84" s="481">
        <v>1</v>
      </c>
      <c r="AV84" s="483">
        <v>0</v>
      </c>
      <c r="AW84" s="479">
        <v>0</v>
      </c>
      <c r="AX84" s="482">
        <v>0</v>
      </c>
    </row>
    <row r="85" spans="1:50" ht="17.399999999999999" customHeight="1" thickBot="1">
      <c r="A85" s="414">
        <v>3353</v>
      </c>
      <c r="B85" s="420" t="s">
        <v>22</v>
      </c>
      <c r="C85" s="420">
        <v>33</v>
      </c>
      <c r="D85" s="416">
        <v>4</v>
      </c>
      <c r="E85" s="421" t="s">
        <v>611</v>
      </c>
      <c r="F85" s="422" t="s">
        <v>2</v>
      </c>
      <c r="G85" s="432">
        <v>43409</v>
      </c>
      <c r="H85" s="388">
        <v>43409</v>
      </c>
      <c r="I85" s="389"/>
      <c r="J85" s="390">
        <v>1</v>
      </c>
      <c r="K85" s="390">
        <v>1.5</v>
      </c>
      <c r="L85" s="390">
        <f t="shared" si="4"/>
        <v>30</v>
      </c>
      <c r="M85" s="419">
        <f t="shared" si="5"/>
        <v>0.81081081081081086</v>
      </c>
      <c r="N85" s="390">
        <v>4</v>
      </c>
      <c r="O85" s="433">
        <v>43425</v>
      </c>
      <c r="P85" s="384"/>
      <c r="Q85" s="385">
        <v>1</v>
      </c>
      <c r="R85" s="384">
        <v>1</v>
      </c>
      <c r="S85" s="384">
        <v>1</v>
      </c>
      <c r="T85" s="384">
        <v>1</v>
      </c>
      <c r="U85" s="384">
        <v>1</v>
      </c>
      <c r="V85" s="386">
        <v>0</v>
      </c>
      <c r="W85" s="384">
        <v>1</v>
      </c>
      <c r="X85" s="384">
        <v>1</v>
      </c>
      <c r="Y85" s="384">
        <v>1</v>
      </c>
      <c r="Z85" s="384">
        <v>0</v>
      </c>
      <c r="AA85" s="384">
        <v>1</v>
      </c>
      <c r="AB85" s="384">
        <v>1</v>
      </c>
      <c r="AC85" s="384">
        <v>1</v>
      </c>
      <c r="AD85" s="384">
        <v>1</v>
      </c>
      <c r="AE85" s="384">
        <v>1</v>
      </c>
      <c r="AF85" s="385">
        <v>0</v>
      </c>
      <c r="AG85" s="384">
        <v>0</v>
      </c>
      <c r="AH85" s="384">
        <v>0</v>
      </c>
      <c r="AI85" s="386">
        <v>1</v>
      </c>
      <c r="AJ85" s="384">
        <v>1</v>
      </c>
      <c r="AK85" s="384">
        <v>1</v>
      </c>
      <c r="AL85" s="384">
        <v>1</v>
      </c>
      <c r="AM85" s="384">
        <v>1</v>
      </c>
      <c r="AN85" s="385">
        <v>1</v>
      </c>
      <c r="AO85" s="384">
        <v>1</v>
      </c>
      <c r="AP85" s="384">
        <v>1</v>
      </c>
      <c r="AQ85" s="386">
        <v>1</v>
      </c>
      <c r="AR85" s="385">
        <v>1</v>
      </c>
      <c r="AS85" s="384">
        <v>1</v>
      </c>
      <c r="AT85" s="384">
        <v>1</v>
      </c>
      <c r="AU85" s="386">
        <v>1</v>
      </c>
      <c r="AV85" s="384">
        <v>2</v>
      </c>
      <c r="AW85" s="384">
        <v>1</v>
      </c>
      <c r="AX85" s="387">
        <v>1</v>
      </c>
    </row>
    <row r="86" spans="1:50" ht="17.399999999999999" customHeight="1" thickTop="1">
      <c r="A86" s="398">
        <v>3268</v>
      </c>
      <c r="B86" s="399" t="s">
        <v>23</v>
      </c>
      <c r="C86" s="399">
        <v>1</v>
      </c>
      <c r="D86" s="400">
        <v>7</v>
      </c>
      <c r="E86" s="401" t="s">
        <v>612</v>
      </c>
      <c r="F86" s="402" t="s">
        <v>80</v>
      </c>
      <c r="G86" s="428">
        <v>43417</v>
      </c>
      <c r="H86" s="370">
        <v>43417</v>
      </c>
      <c r="I86" s="391"/>
      <c r="J86" s="371">
        <v>1</v>
      </c>
      <c r="K86" s="371">
        <v>1.5</v>
      </c>
      <c r="L86" s="371">
        <f t="shared" si="4"/>
        <v>12</v>
      </c>
      <c r="M86" s="372">
        <f t="shared" si="5"/>
        <v>0.32432432432432434</v>
      </c>
      <c r="N86" s="371">
        <v>2</v>
      </c>
      <c r="O86" s="429">
        <v>43417</v>
      </c>
      <c r="P86" s="373"/>
      <c r="Q86" s="374">
        <v>1</v>
      </c>
      <c r="R86" s="373">
        <v>1</v>
      </c>
      <c r="S86" s="373">
        <v>1</v>
      </c>
      <c r="T86" s="373">
        <v>1</v>
      </c>
      <c r="U86" s="373">
        <v>0</v>
      </c>
      <c r="V86" s="375">
        <v>0</v>
      </c>
      <c r="W86" s="373">
        <v>1</v>
      </c>
      <c r="X86" s="373">
        <v>1</v>
      </c>
      <c r="Y86" s="373">
        <v>0</v>
      </c>
      <c r="Z86" s="373">
        <v>0</v>
      </c>
      <c r="AA86" s="373">
        <v>0</v>
      </c>
      <c r="AB86" s="373">
        <v>0</v>
      </c>
      <c r="AC86" s="373">
        <v>0</v>
      </c>
      <c r="AD86" s="373">
        <v>1</v>
      </c>
      <c r="AE86" s="373">
        <v>1</v>
      </c>
      <c r="AF86" s="374">
        <v>0</v>
      </c>
      <c r="AG86" s="373">
        <v>0</v>
      </c>
      <c r="AH86" s="373">
        <v>0</v>
      </c>
      <c r="AI86" s="375">
        <v>0</v>
      </c>
      <c r="AJ86" s="373">
        <v>0</v>
      </c>
      <c r="AK86" s="373">
        <v>0</v>
      </c>
      <c r="AL86" s="373">
        <v>1</v>
      </c>
      <c r="AM86" s="373">
        <v>0</v>
      </c>
      <c r="AN86" s="374">
        <v>1</v>
      </c>
      <c r="AO86" s="373">
        <v>1</v>
      </c>
      <c r="AP86" s="373">
        <v>1</v>
      </c>
      <c r="AQ86" s="375">
        <v>0</v>
      </c>
      <c r="AR86" s="374">
        <v>0</v>
      </c>
      <c r="AS86" s="373">
        <v>0</v>
      </c>
      <c r="AT86" s="373">
        <v>0</v>
      </c>
      <c r="AU86" s="375">
        <v>0</v>
      </c>
      <c r="AV86" s="373">
        <v>0</v>
      </c>
      <c r="AW86" s="373">
        <v>0</v>
      </c>
      <c r="AX86" s="376"/>
    </row>
    <row r="87" spans="1:50" ht="17.399999999999999" customHeight="1">
      <c r="A87" s="403">
        <v>3269</v>
      </c>
      <c r="B87" s="409" t="s">
        <v>23</v>
      </c>
      <c r="C87" s="409">
        <v>2</v>
      </c>
      <c r="D87" s="405">
        <v>7</v>
      </c>
      <c r="E87" s="410" t="s">
        <v>613</v>
      </c>
      <c r="F87" s="411" t="s">
        <v>14</v>
      </c>
      <c r="G87" s="430">
        <v>43403</v>
      </c>
      <c r="H87" s="377">
        <v>43403</v>
      </c>
      <c r="I87" s="383"/>
      <c r="J87" s="378">
        <v>1</v>
      </c>
      <c r="K87" s="378">
        <v>1.5</v>
      </c>
      <c r="L87" s="378">
        <f t="shared" si="4"/>
        <v>27</v>
      </c>
      <c r="M87" s="408">
        <f t="shared" si="5"/>
        <v>0.72972972972972971</v>
      </c>
      <c r="N87" s="378" t="s">
        <v>30</v>
      </c>
      <c r="O87" s="431">
        <v>43410</v>
      </c>
      <c r="P87" s="379"/>
      <c r="Q87" s="380">
        <v>1</v>
      </c>
      <c r="R87" s="379">
        <v>1</v>
      </c>
      <c r="S87" s="379">
        <v>1</v>
      </c>
      <c r="T87" s="379">
        <v>1</v>
      </c>
      <c r="U87" s="379">
        <v>1</v>
      </c>
      <c r="V87" s="381">
        <v>0</v>
      </c>
      <c r="W87" s="379">
        <v>1</v>
      </c>
      <c r="X87" s="379">
        <v>1</v>
      </c>
      <c r="Y87" s="379">
        <v>1</v>
      </c>
      <c r="Z87" s="379">
        <v>1</v>
      </c>
      <c r="AA87" s="379">
        <v>0</v>
      </c>
      <c r="AB87" s="379">
        <v>1</v>
      </c>
      <c r="AC87" s="379">
        <v>0</v>
      </c>
      <c r="AD87" s="379">
        <v>1</v>
      </c>
      <c r="AE87" s="379">
        <v>1</v>
      </c>
      <c r="AF87" s="380">
        <v>0</v>
      </c>
      <c r="AG87" s="379">
        <v>0</v>
      </c>
      <c r="AH87" s="379">
        <v>0</v>
      </c>
      <c r="AI87" s="381">
        <v>0</v>
      </c>
      <c r="AJ87" s="379">
        <v>1</v>
      </c>
      <c r="AK87" s="379">
        <v>1</v>
      </c>
      <c r="AL87" s="379">
        <v>1</v>
      </c>
      <c r="AM87" s="379">
        <v>1</v>
      </c>
      <c r="AN87" s="380">
        <v>1</v>
      </c>
      <c r="AO87" s="379">
        <v>1</v>
      </c>
      <c r="AP87" s="379">
        <v>1</v>
      </c>
      <c r="AQ87" s="381">
        <v>1</v>
      </c>
      <c r="AR87" s="380">
        <v>1</v>
      </c>
      <c r="AS87" s="379">
        <v>1</v>
      </c>
      <c r="AT87" s="379">
        <v>1</v>
      </c>
      <c r="AU87" s="381">
        <v>1</v>
      </c>
      <c r="AV87" s="379">
        <v>2</v>
      </c>
      <c r="AW87" s="379">
        <v>1</v>
      </c>
      <c r="AX87" s="382">
        <v>0</v>
      </c>
    </row>
    <row r="88" spans="1:50" ht="17.399999999999999" customHeight="1">
      <c r="A88" s="403">
        <v>3270</v>
      </c>
      <c r="B88" s="409" t="s">
        <v>23</v>
      </c>
      <c r="C88" s="409">
        <v>3</v>
      </c>
      <c r="D88" s="405">
        <v>7</v>
      </c>
      <c r="E88" s="410" t="s">
        <v>614</v>
      </c>
      <c r="F88" s="411" t="s">
        <v>615</v>
      </c>
      <c r="G88" s="430">
        <v>43403</v>
      </c>
      <c r="H88" s="377">
        <v>43403</v>
      </c>
      <c r="I88" s="383"/>
      <c r="J88" s="378">
        <v>1</v>
      </c>
      <c r="K88" s="378">
        <v>1.5</v>
      </c>
      <c r="L88" s="378">
        <f t="shared" si="4"/>
        <v>28</v>
      </c>
      <c r="M88" s="408">
        <f t="shared" si="5"/>
        <v>0.7567567567567568</v>
      </c>
      <c r="N88" s="378">
        <v>4</v>
      </c>
      <c r="O88" s="431">
        <v>43410</v>
      </c>
      <c r="P88" s="379"/>
      <c r="Q88" s="380">
        <v>1</v>
      </c>
      <c r="R88" s="379">
        <v>1</v>
      </c>
      <c r="S88" s="379">
        <v>1</v>
      </c>
      <c r="T88" s="379">
        <v>1</v>
      </c>
      <c r="U88" s="379">
        <v>1</v>
      </c>
      <c r="V88" s="381">
        <v>1</v>
      </c>
      <c r="W88" s="379">
        <v>1</v>
      </c>
      <c r="X88" s="379">
        <v>1</v>
      </c>
      <c r="Y88" s="379">
        <v>1</v>
      </c>
      <c r="Z88" s="379">
        <v>1</v>
      </c>
      <c r="AA88" s="379">
        <v>1</v>
      </c>
      <c r="AB88" s="379">
        <v>1</v>
      </c>
      <c r="AC88" s="379">
        <v>0</v>
      </c>
      <c r="AD88" s="379">
        <v>1</v>
      </c>
      <c r="AE88" s="379">
        <v>1</v>
      </c>
      <c r="AF88" s="380">
        <v>0</v>
      </c>
      <c r="AG88" s="379">
        <v>1</v>
      </c>
      <c r="AH88" s="379">
        <v>1</v>
      </c>
      <c r="AI88" s="381">
        <v>1</v>
      </c>
      <c r="AJ88" s="379">
        <v>1</v>
      </c>
      <c r="AK88" s="379">
        <v>1</v>
      </c>
      <c r="AL88" s="379">
        <v>1</v>
      </c>
      <c r="AM88" s="379">
        <v>0</v>
      </c>
      <c r="AN88" s="380">
        <v>0</v>
      </c>
      <c r="AO88" s="379">
        <v>0</v>
      </c>
      <c r="AP88" s="379">
        <v>1</v>
      </c>
      <c r="AQ88" s="381">
        <v>1</v>
      </c>
      <c r="AR88" s="380">
        <v>0</v>
      </c>
      <c r="AS88" s="379">
        <v>0</v>
      </c>
      <c r="AT88" s="379">
        <v>0</v>
      </c>
      <c r="AU88" s="381">
        <v>0</v>
      </c>
      <c r="AV88" s="379">
        <v>2</v>
      </c>
      <c r="AW88" s="379">
        <v>1</v>
      </c>
      <c r="AX88" s="382">
        <v>3</v>
      </c>
    </row>
    <row r="89" spans="1:50" ht="17.399999999999999" customHeight="1">
      <c r="A89" s="403">
        <v>3271</v>
      </c>
      <c r="B89" s="409" t="s">
        <v>23</v>
      </c>
      <c r="C89" s="409">
        <v>4</v>
      </c>
      <c r="D89" s="405">
        <v>7</v>
      </c>
      <c r="E89" s="410" t="s">
        <v>616</v>
      </c>
      <c r="F89" s="411" t="s">
        <v>689</v>
      </c>
      <c r="G89" s="430">
        <v>43410</v>
      </c>
      <c r="H89" s="377">
        <v>43410</v>
      </c>
      <c r="I89" s="383"/>
      <c r="J89" s="378">
        <v>1</v>
      </c>
      <c r="K89" s="378">
        <v>1.5</v>
      </c>
      <c r="L89" s="378">
        <f t="shared" si="4"/>
        <v>31</v>
      </c>
      <c r="M89" s="408">
        <f t="shared" si="5"/>
        <v>0.83783783783783783</v>
      </c>
      <c r="N89" s="378" t="s">
        <v>34</v>
      </c>
      <c r="O89" s="431">
        <v>43410</v>
      </c>
      <c r="P89" s="379"/>
      <c r="Q89" s="380">
        <v>1</v>
      </c>
      <c r="R89" s="379">
        <v>1</v>
      </c>
      <c r="S89" s="379">
        <v>1</v>
      </c>
      <c r="T89" s="379">
        <v>1</v>
      </c>
      <c r="U89" s="379">
        <v>1</v>
      </c>
      <c r="V89" s="381">
        <v>1</v>
      </c>
      <c r="W89" s="379">
        <v>1</v>
      </c>
      <c r="X89" s="379">
        <v>1</v>
      </c>
      <c r="Y89" s="379">
        <v>1</v>
      </c>
      <c r="Z89" s="379">
        <v>1</v>
      </c>
      <c r="AA89" s="379">
        <v>1</v>
      </c>
      <c r="AB89" s="379">
        <v>1</v>
      </c>
      <c r="AC89" s="379">
        <v>0</v>
      </c>
      <c r="AD89" s="379">
        <v>1</v>
      </c>
      <c r="AE89" s="379">
        <v>1</v>
      </c>
      <c r="AF89" s="380">
        <v>1</v>
      </c>
      <c r="AG89" s="379">
        <v>1</v>
      </c>
      <c r="AH89" s="379">
        <v>1</v>
      </c>
      <c r="AI89" s="381">
        <v>1</v>
      </c>
      <c r="AJ89" s="379">
        <v>1</v>
      </c>
      <c r="AK89" s="379">
        <v>1</v>
      </c>
      <c r="AL89" s="379">
        <v>1</v>
      </c>
      <c r="AM89" s="379">
        <v>1</v>
      </c>
      <c r="AN89" s="380">
        <v>1</v>
      </c>
      <c r="AO89" s="379">
        <v>1</v>
      </c>
      <c r="AP89" s="379">
        <v>1</v>
      </c>
      <c r="AQ89" s="381">
        <v>1</v>
      </c>
      <c r="AR89" s="380">
        <v>0</v>
      </c>
      <c r="AS89" s="379">
        <v>1</v>
      </c>
      <c r="AT89" s="379">
        <v>0</v>
      </c>
      <c r="AU89" s="381">
        <v>1</v>
      </c>
      <c r="AV89" s="379">
        <v>2</v>
      </c>
      <c r="AW89" s="379">
        <v>0</v>
      </c>
      <c r="AX89" s="382">
        <v>1</v>
      </c>
    </row>
    <row r="90" spans="1:50" ht="17.399999999999999" customHeight="1">
      <c r="A90" s="403">
        <v>3272</v>
      </c>
      <c r="B90" s="409" t="s">
        <v>23</v>
      </c>
      <c r="C90" s="409">
        <v>5</v>
      </c>
      <c r="D90" s="405">
        <v>7</v>
      </c>
      <c r="E90" s="410" t="s">
        <v>617</v>
      </c>
      <c r="F90" s="411" t="s">
        <v>358</v>
      </c>
      <c r="G90" s="430">
        <v>43403</v>
      </c>
      <c r="H90" s="377">
        <v>43403</v>
      </c>
      <c r="I90" s="383"/>
      <c r="J90" s="378">
        <v>1</v>
      </c>
      <c r="K90" s="378">
        <v>1.5</v>
      </c>
      <c r="L90" s="378">
        <f t="shared" si="4"/>
        <v>24</v>
      </c>
      <c r="M90" s="408">
        <f t="shared" si="5"/>
        <v>0.64864864864864868</v>
      </c>
      <c r="N90" s="378">
        <v>3</v>
      </c>
      <c r="O90" s="431">
        <v>43410</v>
      </c>
      <c r="P90" s="379"/>
      <c r="Q90" s="380">
        <v>1</v>
      </c>
      <c r="R90" s="379">
        <v>1</v>
      </c>
      <c r="S90" s="379">
        <v>1</v>
      </c>
      <c r="T90" s="379">
        <v>1</v>
      </c>
      <c r="U90" s="379">
        <v>1</v>
      </c>
      <c r="V90" s="381">
        <v>0</v>
      </c>
      <c r="W90" s="379">
        <v>1</v>
      </c>
      <c r="X90" s="379">
        <v>1</v>
      </c>
      <c r="Y90" s="379">
        <v>0</v>
      </c>
      <c r="Z90" s="379">
        <v>0</v>
      </c>
      <c r="AA90" s="379">
        <v>0</v>
      </c>
      <c r="AB90" s="379">
        <v>1</v>
      </c>
      <c r="AC90" s="379">
        <v>0</v>
      </c>
      <c r="AD90" s="379">
        <v>1</v>
      </c>
      <c r="AE90" s="379">
        <v>1</v>
      </c>
      <c r="AF90" s="380">
        <v>0</v>
      </c>
      <c r="AG90" s="379">
        <v>0</v>
      </c>
      <c r="AH90" s="379">
        <v>0</v>
      </c>
      <c r="AI90" s="381">
        <v>0</v>
      </c>
      <c r="AJ90" s="379">
        <v>1</v>
      </c>
      <c r="AK90" s="379">
        <v>1</v>
      </c>
      <c r="AL90" s="379">
        <v>0</v>
      </c>
      <c r="AM90" s="379">
        <v>1</v>
      </c>
      <c r="AN90" s="380">
        <v>1</v>
      </c>
      <c r="AO90" s="379">
        <v>1</v>
      </c>
      <c r="AP90" s="379">
        <v>1</v>
      </c>
      <c r="AQ90" s="381">
        <v>1</v>
      </c>
      <c r="AR90" s="380">
        <v>1</v>
      </c>
      <c r="AS90" s="379">
        <v>1</v>
      </c>
      <c r="AT90" s="379">
        <v>0</v>
      </c>
      <c r="AU90" s="381">
        <v>1</v>
      </c>
      <c r="AV90" s="379">
        <v>2</v>
      </c>
      <c r="AW90" s="379">
        <v>1</v>
      </c>
      <c r="AX90" s="382">
        <v>1</v>
      </c>
    </row>
    <row r="91" spans="1:50" ht="17.399999999999999" customHeight="1">
      <c r="A91" s="403">
        <v>3273</v>
      </c>
      <c r="B91" s="409" t="s">
        <v>23</v>
      </c>
      <c r="C91" s="409">
        <v>6</v>
      </c>
      <c r="D91" s="405">
        <v>8</v>
      </c>
      <c r="E91" s="410" t="s">
        <v>618</v>
      </c>
      <c r="F91" s="411" t="s">
        <v>690</v>
      </c>
      <c r="G91" s="430">
        <v>43409</v>
      </c>
      <c r="H91" s="377">
        <v>43409</v>
      </c>
      <c r="I91" s="383"/>
      <c r="J91" s="378">
        <v>1</v>
      </c>
      <c r="K91" s="378">
        <v>1.5</v>
      </c>
      <c r="L91" s="378">
        <f t="shared" si="4"/>
        <v>30</v>
      </c>
      <c r="M91" s="408">
        <f t="shared" si="5"/>
        <v>0.81081081081081086</v>
      </c>
      <c r="N91" s="378">
        <v>4</v>
      </c>
      <c r="O91" s="431">
        <v>43411</v>
      </c>
      <c r="P91" s="379"/>
      <c r="Q91" s="380">
        <v>1</v>
      </c>
      <c r="R91" s="379">
        <v>1</v>
      </c>
      <c r="S91" s="379">
        <v>1</v>
      </c>
      <c r="T91" s="379">
        <v>1</v>
      </c>
      <c r="U91" s="379">
        <v>1</v>
      </c>
      <c r="V91" s="381">
        <v>0</v>
      </c>
      <c r="W91" s="379">
        <v>1</v>
      </c>
      <c r="X91" s="379">
        <v>1</v>
      </c>
      <c r="Y91" s="379">
        <v>1</v>
      </c>
      <c r="Z91" s="379">
        <v>0</v>
      </c>
      <c r="AA91" s="379">
        <v>1</v>
      </c>
      <c r="AB91" s="379">
        <v>1</v>
      </c>
      <c r="AC91" s="379">
        <v>0</v>
      </c>
      <c r="AD91" s="379">
        <v>1</v>
      </c>
      <c r="AE91" s="379">
        <v>1</v>
      </c>
      <c r="AF91" s="380">
        <v>1</v>
      </c>
      <c r="AG91" s="379">
        <v>1</v>
      </c>
      <c r="AH91" s="379">
        <v>1</v>
      </c>
      <c r="AI91" s="381">
        <v>1</v>
      </c>
      <c r="AJ91" s="379">
        <v>1</v>
      </c>
      <c r="AK91" s="379">
        <v>1</v>
      </c>
      <c r="AL91" s="379">
        <v>1</v>
      </c>
      <c r="AM91" s="379">
        <v>1</v>
      </c>
      <c r="AN91" s="380">
        <v>1</v>
      </c>
      <c r="AO91" s="379">
        <v>1</v>
      </c>
      <c r="AP91" s="379">
        <v>0</v>
      </c>
      <c r="AQ91" s="381">
        <v>1</v>
      </c>
      <c r="AR91" s="380">
        <v>1</v>
      </c>
      <c r="AS91" s="379">
        <v>1</v>
      </c>
      <c r="AT91" s="379">
        <v>1</v>
      </c>
      <c r="AU91" s="381">
        <v>1</v>
      </c>
      <c r="AV91" s="379">
        <v>1</v>
      </c>
      <c r="AW91" s="379">
        <v>0</v>
      </c>
      <c r="AX91" s="382">
        <v>2</v>
      </c>
    </row>
    <row r="92" spans="1:50" ht="17.399999999999999" customHeight="1">
      <c r="A92" s="403">
        <v>3274</v>
      </c>
      <c r="B92" s="409" t="s">
        <v>23</v>
      </c>
      <c r="C92" s="409">
        <v>7</v>
      </c>
      <c r="D92" s="405">
        <v>13</v>
      </c>
      <c r="E92" s="410" t="s">
        <v>619</v>
      </c>
      <c r="F92" s="411" t="s">
        <v>567</v>
      </c>
      <c r="G92" s="430">
        <v>43420</v>
      </c>
      <c r="H92" s="377">
        <v>43420</v>
      </c>
      <c r="I92" s="383"/>
      <c r="J92" s="378">
        <v>1</v>
      </c>
      <c r="K92" s="378">
        <v>1.5</v>
      </c>
      <c r="L92" s="378">
        <f t="shared" si="4"/>
        <v>32</v>
      </c>
      <c r="M92" s="408">
        <f t="shared" si="5"/>
        <v>0.86486486486486491</v>
      </c>
      <c r="N92" s="378" t="s">
        <v>33</v>
      </c>
      <c r="O92" s="431">
        <v>43420</v>
      </c>
      <c r="P92" s="379"/>
      <c r="Q92" s="380">
        <v>1</v>
      </c>
      <c r="R92" s="379">
        <v>1</v>
      </c>
      <c r="S92" s="379">
        <v>1</v>
      </c>
      <c r="T92" s="379">
        <v>1</v>
      </c>
      <c r="U92" s="379">
        <v>1</v>
      </c>
      <c r="V92" s="381">
        <v>1</v>
      </c>
      <c r="W92" s="379">
        <v>1</v>
      </c>
      <c r="X92" s="379">
        <v>1</v>
      </c>
      <c r="Y92" s="379">
        <v>1</v>
      </c>
      <c r="Z92" s="379">
        <v>1</v>
      </c>
      <c r="AA92" s="379">
        <v>1</v>
      </c>
      <c r="AB92" s="379">
        <v>1</v>
      </c>
      <c r="AC92" s="379">
        <v>0</v>
      </c>
      <c r="AD92" s="379">
        <v>1</v>
      </c>
      <c r="AE92" s="379">
        <v>0</v>
      </c>
      <c r="AF92" s="380">
        <v>1</v>
      </c>
      <c r="AG92" s="379">
        <v>1</v>
      </c>
      <c r="AH92" s="379">
        <v>1</v>
      </c>
      <c r="AI92" s="381">
        <v>1</v>
      </c>
      <c r="AJ92" s="379">
        <v>1</v>
      </c>
      <c r="AK92" s="379">
        <v>1</v>
      </c>
      <c r="AL92" s="379">
        <v>0</v>
      </c>
      <c r="AM92" s="379">
        <v>1</v>
      </c>
      <c r="AN92" s="380">
        <v>1</v>
      </c>
      <c r="AO92" s="379">
        <v>1</v>
      </c>
      <c r="AP92" s="379">
        <v>1</v>
      </c>
      <c r="AQ92" s="381">
        <v>1</v>
      </c>
      <c r="AR92" s="380">
        <v>1</v>
      </c>
      <c r="AS92" s="379">
        <v>1</v>
      </c>
      <c r="AT92" s="379">
        <v>0</v>
      </c>
      <c r="AU92" s="381">
        <v>1</v>
      </c>
      <c r="AV92" s="379">
        <v>2</v>
      </c>
      <c r="AW92" s="379">
        <v>0</v>
      </c>
      <c r="AX92" s="382">
        <v>3</v>
      </c>
    </row>
    <row r="93" spans="1:50" ht="17.399999999999999" customHeight="1">
      <c r="A93" s="403">
        <v>3275</v>
      </c>
      <c r="B93" s="409" t="s">
        <v>23</v>
      </c>
      <c r="C93" s="409">
        <v>8</v>
      </c>
      <c r="D93" s="405">
        <v>7</v>
      </c>
      <c r="E93" s="410" t="s">
        <v>620</v>
      </c>
      <c r="F93" s="411" t="s">
        <v>47</v>
      </c>
      <c r="G93" s="430">
        <v>43403</v>
      </c>
      <c r="H93" s="377">
        <v>43403</v>
      </c>
      <c r="I93" s="383"/>
      <c r="J93" s="378">
        <v>1</v>
      </c>
      <c r="K93" s="378">
        <v>1.5</v>
      </c>
      <c r="L93" s="378">
        <f t="shared" si="4"/>
        <v>19</v>
      </c>
      <c r="M93" s="408">
        <f t="shared" si="5"/>
        <v>0.51351351351351349</v>
      </c>
      <c r="N93" s="378" t="s">
        <v>31</v>
      </c>
      <c r="O93" s="431">
        <v>43425</v>
      </c>
      <c r="P93" s="379">
        <v>-1</v>
      </c>
      <c r="Q93" s="380">
        <v>1</v>
      </c>
      <c r="R93" s="379">
        <v>1</v>
      </c>
      <c r="S93" s="379">
        <v>1</v>
      </c>
      <c r="T93" s="379">
        <v>1</v>
      </c>
      <c r="U93" s="379">
        <v>0</v>
      </c>
      <c r="V93" s="381">
        <v>0</v>
      </c>
      <c r="W93" s="379">
        <v>1</v>
      </c>
      <c r="X93" s="379">
        <v>1</v>
      </c>
      <c r="Y93" s="379">
        <v>1</v>
      </c>
      <c r="Z93" s="379">
        <v>0</v>
      </c>
      <c r="AA93" s="379">
        <v>0</v>
      </c>
      <c r="AB93" s="379">
        <v>1</v>
      </c>
      <c r="AC93" s="379">
        <v>0</v>
      </c>
      <c r="AD93" s="379">
        <v>1</v>
      </c>
      <c r="AE93" s="379">
        <v>0</v>
      </c>
      <c r="AF93" s="380">
        <v>0</v>
      </c>
      <c r="AG93" s="379">
        <v>0</v>
      </c>
      <c r="AH93" s="379">
        <v>0</v>
      </c>
      <c r="AI93" s="381">
        <v>0</v>
      </c>
      <c r="AJ93" s="379">
        <v>1</v>
      </c>
      <c r="AK93" s="443">
        <v>1</v>
      </c>
      <c r="AL93" s="379">
        <v>1</v>
      </c>
      <c r="AM93" s="379">
        <v>1</v>
      </c>
      <c r="AN93" s="380">
        <v>1</v>
      </c>
      <c r="AO93" s="379">
        <v>1</v>
      </c>
      <c r="AP93" s="379">
        <v>1</v>
      </c>
      <c r="AQ93" s="381">
        <v>1</v>
      </c>
      <c r="AR93" s="380">
        <v>0</v>
      </c>
      <c r="AS93" s="379">
        <v>0</v>
      </c>
      <c r="AT93" s="379">
        <v>0</v>
      </c>
      <c r="AU93" s="381">
        <v>1</v>
      </c>
      <c r="AV93" s="379">
        <v>0</v>
      </c>
      <c r="AW93" s="379">
        <v>1</v>
      </c>
      <c r="AX93" s="382">
        <v>1</v>
      </c>
    </row>
    <row r="94" spans="1:50" ht="17.399999999999999" customHeight="1">
      <c r="A94" s="403">
        <v>3276</v>
      </c>
      <c r="B94" s="409" t="s">
        <v>23</v>
      </c>
      <c r="C94" s="409">
        <v>9</v>
      </c>
      <c r="D94" s="405">
        <v>7</v>
      </c>
      <c r="E94" s="410" t="s">
        <v>150</v>
      </c>
      <c r="F94" s="411" t="s">
        <v>79</v>
      </c>
      <c r="G94" s="430">
        <v>43403</v>
      </c>
      <c r="H94" s="377">
        <v>43403</v>
      </c>
      <c r="I94" s="383"/>
      <c r="J94" s="378">
        <v>1</v>
      </c>
      <c r="K94" s="378">
        <v>1.5</v>
      </c>
      <c r="L94" s="378">
        <f t="shared" si="4"/>
        <v>33</v>
      </c>
      <c r="M94" s="408">
        <f t="shared" si="5"/>
        <v>0.89189189189189189</v>
      </c>
      <c r="N94" s="378">
        <v>5</v>
      </c>
      <c r="O94" s="431">
        <v>43410</v>
      </c>
      <c r="P94" s="379"/>
      <c r="Q94" s="380">
        <v>1</v>
      </c>
      <c r="R94" s="379">
        <v>1</v>
      </c>
      <c r="S94" s="379">
        <v>1</v>
      </c>
      <c r="T94" s="379">
        <v>1</v>
      </c>
      <c r="U94" s="379">
        <v>1</v>
      </c>
      <c r="V94" s="381">
        <v>0</v>
      </c>
      <c r="W94" s="379">
        <v>1</v>
      </c>
      <c r="X94" s="379">
        <v>1</v>
      </c>
      <c r="Y94" s="379">
        <v>1</v>
      </c>
      <c r="Z94" s="379">
        <v>1</v>
      </c>
      <c r="AA94" s="379">
        <v>1</v>
      </c>
      <c r="AB94" s="379">
        <v>1</v>
      </c>
      <c r="AC94" s="379">
        <v>1</v>
      </c>
      <c r="AD94" s="379">
        <v>1</v>
      </c>
      <c r="AE94" s="379">
        <v>1</v>
      </c>
      <c r="AF94" s="380">
        <v>1</v>
      </c>
      <c r="AG94" s="379">
        <v>1</v>
      </c>
      <c r="AH94" s="379">
        <v>1</v>
      </c>
      <c r="AI94" s="381">
        <v>0</v>
      </c>
      <c r="AJ94" s="379">
        <v>1</v>
      </c>
      <c r="AK94" s="379">
        <v>1</v>
      </c>
      <c r="AL94" s="379">
        <v>1</v>
      </c>
      <c r="AM94" s="379">
        <v>1</v>
      </c>
      <c r="AN94" s="380">
        <v>1</v>
      </c>
      <c r="AO94" s="379">
        <v>1</v>
      </c>
      <c r="AP94" s="379">
        <v>1</v>
      </c>
      <c r="AQ94" s="381">
        <v>1</v>
      </c>
      <c r="AR94" s="380">
        <v>1</v>
      </c>
      <c r="AS94" s="379">
        <v>1</v>
      </c>
      <c r="AT94" s="379">
        <v>1</v>
      </c>
      <c r="AU94" s="381">
        <v>1</v>
      </c>
      <c r="AV94" s="379">
        <v>2</v>
      </c>
      <c r="AW94" s="379">
        <v>1</v>
      </c>
      <c r="AX94" s="382">
        <v>1</v>
      </c>
    </row>
    <row r="95" spans="1:50" ht="17.399999999999999" customHeight="1">
      <c r="A95" s="403">
        <v>3277</v>
      </c>
      <c r="B95" s="409" t="s">
        <v>23</v>
      </c>
      <c r="C95" s="409">
        <v>10</v>
      </c>
      <c r="D95" s="405">
        <v>13</v>
      </c>
      <c r="E95" s="410" t="s">
        <v>621</v>
      </c>
      <c r="F95" s="411" t="s">
        <v>100</v>
      </c>
      <c r="G95" s="430">
        <v>43441</v>
      </c>
      <c r="H95" s="377">
        <v>43441</v>
      </c>
      <c r="I95" s="383"/>
      <c r="J95" s="378">
        <v>1</v>
      </c>
      <c r="K95" s="378">
        <v>1.5</v>
      </c>
      <c r="L95" s="378">
        <f t="shared" si="4"/>
        <v>23</v>
      </c>
      <c r="M95" s="408">
        <f t="shared" si="5"/>
        <v>0.6216216216216216</v>
      </c>
      <c r="N95" s="378">
        <v>3</v>
      </c>
      <c r="O95" s="431">
        <v>43444</v>
      </c>
      <c r="P95" s="379">
        <v>-1</v>
      </c>
      <c r="Q95" s="380">
        <v>1</v>
      </c>
      <c r="R95" s="379">
        <v>1</v>
      </c>
      <c r="S95" s="379">
        <v>0</v>
      </c>
      <c r="T95" s="379">
        <v>1</v>
      </c>
      <c r="U95" s="379">
        <v>0</v>
      </c>
      <c r="V95" s="381">
        <v>0</v>
      </c>
      <c r="W95" s="379">
        <v>1</v>
      </c>
      <c r="X95" s="379">
        <v>1</v>
      </c>
      <c r="Y95" s="379">
        <v>1</v>
      </c>
      <c r="Z95" s="379">
        <v>1</v>
      </c>
      <c r="AA95" s="379">
        <v>1</v>
      </c>
      <c r="AB95" s="379">
        <v>1</v>
      </c>
      <c r="AC95" s="379">
        <v>0</v>
      </c>
      <c r="AD95" s="379">
        <v>1</v>
      </c>
      <c r="AE95" s="379">
        <v>1</v>
      </c>
      <c r="AF95" s="380">
        <v>1</v>
      </c>
      <c r="AG95" s="379">
        <v>1</v>
      </c>
      <c r="AH95" s="379">
        <v>1</v>
      </c>
      <c r="AI95" s="381">
        <v>0</v>
      </c>
      <c r="AJ95" s="379">
        <v>1</v>
      </c>
      <c r="AK95" s="443">
        <v>1</v>
      </c>
      <c r="AL95" s="379">
        <v>0</v>
      </c>
      <c r="AM95" s="379">
        <v>1</v>
      </c>
      <c r="AN95" s="380">
        <v>1</v>
      </c>
      <c r="AO95" s="379">
        <v>1</v>
      </c>
      <c r="AP95" s="379">
        <v>1</v>
      </c>
      <c r="AQ95" s="381">
        <v>1</v>
      </c>
      <c r="AR95" s="380">
        <v>0</v>
      </c>
      <c r="AS95" s="379">
        <v>0</v>
      </c>
      <c r="AT95" s="379">
        <v>0</v>
      </c>
      <c r="AU95" s="381">
        <v>0</v>
      </c>
      <c r="AV95" s="379">
        <v>2</v>
      </c>
      <c r="AW95" s="379">
        <v>0</v>
      </c>
      <c r="AX95" s="382">
        <v>1</v>
      </c>
    </row>
    <row r="96" spans="1:50" ht="17.399999999999999" customHeight="1">
      <c r="A96" s="403">
        <v>3278</v>
      </c>
      <c r="B96" s="409" t="s">
        <v>23</v>
      </c>
      <c r="C96" s="409">
        <v>11</v>
      </c>
      <c r="D96" s="405">
        <v>8</v>
      </c>
      <c r="E96" s="410" t="s">
        <v>426</v>
      </c>
      <c r="F96" s="411" t="s">
        <v>68</v>
      </c>
      <c r="G96" s="430">
        <v>43402</v>
      </c>
      <c r="H96" s="377">
        <v>43402</v>
      </c>
      <c r="I96" s="383"/>
      <c r="J96" s="378">
        <v>1</v>
      </c>
      <c r="K96" s="378">
        <v>1.5</v>
      </c>
      <c r="L96" s="378">
        <f t="shared" si="4"/>
        <v>28</v>
      </c>
      <c r="M96" s="408">
        <f t="shared" si="5"/>
        <v>0.7567567567567568</v>
      </c>
      <c r="N96" s="378">
        <v>4</v>
      </c>
      <c r="O96" s="431">
        <v>43411</v>
      </c>
      <c r="P96" s="379"/>
      <c r="Q96" s="380">
        <v>1</v>
      </c>
      <c r="R96" s="379">
        <v>1</v>
      </c>
      <c r="S96" s="379">
        <v>1</v>
      </c>
      <c r="T96" s="379">
        <v>1</v>
      </c>
      <c r="U96" s="379">
        <v>1</v>
      </c>
      <c r="V96" s="381">
        <v>0</v>
      </c>
      <c r="W96" s="379">
        <v>1</v>
      </c>
      <c r="X96" s="379">
        <v>1</v>
      </c>
      <c r="Y96" s="379">
        <v>1</v>
      </c>
      <c r="Z96" s="379">
        <v>1</v>
      </c>
      <c r="AA96" s="379">
        <v>1</v>
      </c>
      <c r="AB96" s="379">
        <v>1</v>
      </c>
      <c r="AC96" s="379">
        <v>0</v>
      </c>
      <c r="AD96" s="379">
        <v>1</v>
      </c>
      <c r="AE96" s="379">
        <v>1</v>
      </c>
      <c r="AF96" s="380">
        <v>0</v>
      </c>
      <c r="AG96" s="379">
        <v>0</v>
      </c>
      <c r="AH96" s="379">
        <v>0</v>
      </c>
      <c r="AI96" s="381">
        <v>0</v>
      </c>
      <c r="AJ96" s="379">
        <v>1</v>
      </c>
      <c r="AK96" s="379">
        <v>1</v>
      </c>
      <c r="AL96" s="379">
        <v>1</v>
      </c>
      <c r="AM96" s="379">
        <v>1</v>
      </c>
      <c r="AN96" s="380">
        <v>1</v>
      </c>
      <c r="AO96" s="379">
        <v>1</v>
      </c>
      <c r="AP96" s="379">
        <v>1</v>
      </c>
      <c r="AQ96" s="381">
        <v>0</v>
      </c>
      <c r="AR96" s="380">
        <v>1</v>
      </c>
      <c r="AS96" s="379">
        <v>1</v>
      </c>
      <c r="AT96" s="379">
        <v>1</v>
      </c>
      <c r="AU96" s="381">
        <v>1</v>
      </c>
      <c r="AV96" s="379">
        <v>2</v>
      </c>
      <c r="AW96" s="379">
        <v>1</v>
      </c>
      <c r="AX96" s="382">
        <v>1</v>
      </c>
    </row>
    <row r="97" spans="1:50" ht="17.399999999999999" customHeight="1">
      <c r="A97" s="403">
        <v>3279</v>
      </c>
      <c r="B97" s="409" t="s">
        <v>23</v>
      </c>
      <c r="C97" s="409">
        <v>12</v>
      </c>
      <c r="D97" s="405">
        <v>13</v>
      </c>
      <c r="E97" s="410" t="s">
        <v>622</v>
      </c>
      <c r="F97" s="411" t="s">
        <v>623</v>
      </c>
      <c r="G97" s="430">
        <v>43420</v>
      </c>
      <c r="H97" s="377">
        <v>43420</v>
      </c>
      <c r="I97" s="383"/>
      <c r="J97" s="378">
        <v>1</v>
      </c>
      <c r="K97" s="378">
        <v>1.5</v>
      </c>
      <c r="L97" s="378">
        <f t="shared" si="4"/>
        <v>29</v>
      </c>
      <c r="M97" s="408">
        <f t="shared" si="5"/>
        <v>0.78378378378378377</v>
      </c>
      <c r="N97" s="378">
        <v>4</v>
      </c>
      <c r="O97" s="431">
        <v>43420</v>
      </c>
      <c r="P97" s="379"/>
      <c r="Q97" s="380">
        <v>1</v>
      </c>
      <c r="R97" s="379">
        <v>1</v>
      </c>
      <c r="S97" s="379">
        <v>1</v>
      </c>
      <c r="T97" s="379">
        <v>1</v>
      </c>
      <c r="U97" s="379">
        <v>1</v>
      </c>
      <c r="V97" s="381">
        <v>1</v>
      </c>
      <c r="W97" s="379">
        <v>1</v>
      </c>
      <c r="X97" s="379">
        <v>1</v>
      </c>
      <c r="Y97" s="379">
        <v>0</v>
      </c>
      <c r="Z97" s="379">
        <v>1</v>
      </c>
      <c r="AA97" s="379">
        <v>1</v>
      </c>
      <c r="AB97" s="379">
        <v>1</v>
      </c>
      <c r="AC97" s="379">
        <v>0</v>
      </c>
      <c r="AD97" s="379">
        <v>1</v>
      </c>
      <c r="AE97" s="379">
        <v>1</v>
      </c>
      <c r="AF97" s="380">
        <v>0</v>
      </c>
      <c r="AG97" s="379">
        <v>0</v>
      </c>
      <c r="AH97" s="379">
        <v>0</v>
      </c>
      <c r="AI97" s="381">
        <v>0</v>
      </c>
      <c r="AJ97" s="379">
        <v>1</v>
      </c>
      <c r="AK97" s="379">
        <v>1</v>
      </c>
      <c r="AL97" s="379">
        <v>1</v>
      </c>
      <c r="AM97" s="379">
        <v>1</v>
      </c>
      <c r="AN97" s="380">
        <v>1</v>
      </c>
      <c r="AO97" s="379">
        <v>1</v>
      </c>
      <c r="AP97" s="379">
        <v>1</v>
      </c>
      <c r="AQ97" s="381">
        <v>1</v>
      </c>
      <c r="AR97" s="380">
        <v>1</v>
      </c>
      <c r="AS97" s="379">
        <v>1</v>
      </c>
      <c r="AT97" s="379">
        <v>1</v>
      </c>
      <c r="AU97" s="381">
        <v>1</v>
      </c>
      <c r="AV97" s="379">
        <v>2</v>
      </c>
      <c r="AW97" s="379">
        <v>0</v>
      </c>
      <c r="AX97" s="382">
        <v>2</v>
      </c>
    </row>
    <row r="98" spans="1:50" ht="17.399999999999999" customHeight="1">
      <c r="A98" s="403">
        <v>3280</v>
      </c>
      <c r="B98" s="409" t="s">
        <v>23</v>
      </c>
      <c r="C98" s="409">
        <v>13</v>
      </c>
      <c r="D98" s="405">
        <v>7</v>
      </c>
      <c r="E98" s="410" t="s">
        <v>624</v>
      </c>
      <c r="F98" s="411" t="s">
        <v>385</v>
      </c>
      <c r="G98" s="430">
        <v>43431</v>
      </c>
      <c r="H98" s="377">
        <v>43431</v>
      </c>
      <c r="I98" s="383"/>
      <c r="J98" s="378">
        <v>1</v>
      </c>
      <c r="K98" s="378">
        <v>1.5</v>
      </c>
      <c r="L98" s="378">
        <f t="shared" si="4"/>
        <v>21</v>
      </c>
      <c r="M98" s="408">
        <f t="shared" si="5"/>
        <v>0.56756756756756754</v>
      </c>
      <c r="N98" s="378">
        <v>3</v>
      </c>
      <c r="O98" s="431">
        <v>43431</v>
      </c>
      <c r="P98" s="379">
        <v>-2</v>
      </c>
      <c r="Q98" s="380">
        <v>1</v>
      </c>
      <c r="R98" s="379">
        <v>1</v>
      </c>
      <c r="S98" s="379">
        <v>1</v>
      </c>
      <c r="T98" s="379">
        <v>1</v>
      </c>
      <c r="U98" s="379">
        <v>0</v>
      </c>
      <c r="V98" s="381">
        <v>0</v>
      </c>
      <c r="W98" s="379">
        <v>1</v>
      </c>
      <c r="X98" s="379">
        <v>1</v>
      </c>
      <c r="Y98" s="379">
        <v>1</v>
      </c>
      <c r="Z98" s="379">
        <v>1</v>
      </c>
      <c r="AA98" s="379">
        <v>1</v>
      </c>
      <c r="AB98" s="379">
        <v>1</v>
      </c>
      <c r="AC98" s="443">
        <v>0</v>
      </c>
      <c r="AD98" s="379">
        <v>1</v>
      </c>
      <c r="AE98" s="379">
        <v>0</v>
      </c>
      <c r="AF98" s="380">
        <v>0</v>
      </c>
      <c r="AG98" s="379">
        <v>0</v>
      </c>
      <c r="AH98" s="379">
        <v>1</v>
      </c>
      <c r="AI98" s="381">
        <v>1</v>
      </c>
      <c r="AJ98" s="379">
        <v>1</v>
      </c>
      <c r="AK98" s="379">
        <v>1</v>
      </c>
      <c r="AL98" s="379">
        <v>1</v>
      </c>
      <c r="AM98" s="379">
        <v>1</v>
      </c>
      <c r="AN98" s="380">
        <v>1</v>
      </c>
      <c r="AO98" s="379">
        <v>1</v>
      </c>
      <c r="AP98" s="379">
        <v>0</v>
      </c>
      <c r="AQ98" s="381">
        <v>0</v>
      </c>
      <c r="AR98" s="380">
        <v>1</v>
      </c>
      <c r="AS98" s="379">
        <v>1</v>
      </c>
      <c r="AT98" s="379">
        <v>0</v>
      </c>
      <c r="AU98" s="381">
        <v>0</v>
      </c>
      <c r="AV98" s="379">
        <v>1</v>
      </c>
      <c r="AW98" s="443">
        <v>0</v>
      </c>
      <c r="AX98" s="382">
        <v>1</v>
      </c>
    </row>
    <row r="99" spans="1:50" ht="17.399999999999999" customHeight="1">
      <c r="A99" s="403">
        <v>3281</v>
      </c>
      <c r="B99" s="409" t="s">
        <v>23</v>
      </c>
      <c r="C99" s="409">
        <v>14</v>
      </c>
      <c r="D99" s="405">
        <v>13</v>
      </c>
      <c r="E99" s="410" t="s">
        <v>625</v>
      </c>
      <c r="F99" s="411" t="s">
        <v>80</v>
      </c>
      <c r="G99" s="430">
        <v>43420</v>
      </c>
      <c r="H99" s="377">
        <v>43420</v>
      </c>
      <c r="I99" s="383"/>
      <c r="J99" s="378">
        <v>1</v>
      </c>
      <c r="K99" s="378">
        <v>1.5</v>
      </c>
      <c r="L99" s="378">
        <f t="shared" si="4"/>
        <v>28</v>
      </c>
      <c r="M99" s="408">
        <f t="shared" si="5"/>
        <v>0.7567567567567568</v>
      </c>
      <c r="N99" s="378">
        <v>4</v>
      </c>
      <c r="O99" s="431">
        <v>43420</v>
      </c>
      <c r="P99" s="379">
        <v>-1</v>
      </c>
      <c r="Q99" s="380">
        <v>1</v>
      </c>
      <c r="R99" s="379">
        <v>1</v>
      </c>
      <c r="S99" s="379">
        <v>1</v>
      </c>
      <c r="T99" s="379">
        <v>1</v>
      </c>
      <c r="U99" s="379">
        <v>1</v>
      </c>
      <c r="V99" s="381">
        <v>1</v>
      </c>
      <c r="W99" s="379">
        <v>1</v>
      </c>
      <c r="X99" s="379">
        <v>1</v>
      </c>
      <c r="Y99" s="379">
        <v>1</v>
      </c>
      <c r="Z99" s="379">
        <v>1</v>
      </c>
      <c r="AA99" s="379">
        <v>1</v>
      </c>
      <c r="AB99" s="379">
        <v>1</v>
      </c>
      <c r="AC99" s="443">
        <v>0</v>
      </c>
      <c r="AD99" s="379">
        <v>1</v>
      </c>
      <c r="AE99" s="379">
        <v>0</v>
      </c>
      <c r="AF99" s="380">
        <v>1</v>
      </c>
      <c r="AG99" s="379">
        <v>1</v>
      </c>
      <c r="AH99" s="379">
        <v>1</v>
      </c>
      <c r="AI99" s="381">
        <v>1</v>
      </c>
      <c r="AJ99" s="379">
        <v>1</v>
      </c>
      <c r="AK99" s="379">
        <v>1</v>
      </c>
      <c r="AL99" s="379">
        <v>1</v>
      </c>
      <c r="AM99" s="379">
        <v>1</v>
      </c>
      <c r="AN99" s="380">
        <v>1</v>
      </c>
      <c r="AO99" s="379">
        <v>1</v>
      </c>
      <c r="AP99" s="379">
        <v>1</v>
      </c>
      <c r="AQ99" s="381">
        <v>1</v>
      </c>
      <c r="AR99" s="380">
        <v>1</v>
      </c>
      <c r="AS99" s="379">
        <v>1</v>
      </c>
      <c r="AT99" s="379">
        <v>1</v>
      </c>
      <c r="AU99" s="381">
        <v>1</v>
      </c>
      <c r="AV99" s="379">
        <v>0</v>
      </c>
      <c r="AW99" s="379">
        <v>0</v>
      </c>
      <c r="AX99" s="382">
        <v>0</v>
      </c>
    </row>
    <row r="100" spans="1:50" ht="17.399999999999999" customHeight="1">
      <c r="A100" s="403">
        <v>3245</v>
      </c>
      <c r="B100" s="409" t="s">
        <v>23</v>
      </c>
      <c r="C100" s="409">
        <v>15</v>
      </c>
      <c r="D100" s="405">
        <v>13</v>
      </c>
      <c r="E100" s="410" t="s">
        <v>626</v>
      </c>
      <c r="F100" s="411" t="s">
        <v>674</v>
      </c>
      <c r="G100" s="430">
        <v>43437</v>
      </c>
      <c r="H100" s="377"/>
      <c r="I100" s="383" t="s">
        <v>702</v>
      </c>
      <c r="J100" s="378">
        <v>1</v>
      </c>
      <c r="K100" s="378">
        <v>0.1</v>
      </c>
      <c r="L100" s="378">
        <f t="shared" si="4"/>
        <v>0</v>
      </c>
      <c r="M100" s="408">
        <f t="shared" si="5"/>
        <v>0</v>
      </c>
      <c r="N100" s="378">
        <v>1</v>
      </c>
      <c r="O100" s="431">
        <v>43440</v>
      </c>
      <c r="P100" s="379"/>
      <c r="Q100" s="380"/>
      <c r="R100" s="379"/>
      <c r="S100" s="379"/>
      <c r="T100" s="379"/>
      <c r="U100" s="379"/>
      <c r="V100" s="381"/>
      <c r="W100" s="379"/>
      <c r="X100" s="379"/>
      <c r="Y100" s="379"/>
      <c r="Z100" s="379"/>
      <c r="AA100" s="379"/>
      <c r="AB100" s="379"/>
      <c r="AC100" s="379"/>
      <c r="AD100" s="379"/>
      <c r="AE100" s="379"/>
      <c r="AF100" s="380"/>
      <c r="AG100" s="379"/>
      <c r="AH100" s="379"/>
      <c r="AI100" s="381"/>
      <c r="AJ100" s="379"/>
      <c r="AK100" s="379"/>
      <c r="AL100" s="379"/>
      <c r="AM100" s="379"/>
      <c r="AN100" s="380"/>
      <c r="AO100" s="379"/>
      <c r="AP100" s="379"/>
      <c r="AQ100" s="381"/>
      <c r="AR100" s="380"/>
      <c r="AS100" s="379"/>
      <c r="AT100" s="379"/>
      <c r="AU100" s="381"/>
      <c r="AV100" s="379"/>
      <c r="AW100" s="379"/>
      <c r="AX100" s="382"/>
    </row>
    <row r="101" spans="1:50" ht="17.399999999999999" customHeight="1">
      <c r="A101" s="457">
        <v>3245</v>
      </c>
      <c r="B101" s="471" t="s">
        <v>23</v>
      </c>
      <c r="C101" s="471">
        <v>15</v>
      </c>
      <c r="D101" s="459">
        <v>13</v>
      </c>
      <c r="E101" s="472" t="s">
        <v>626</v>
      </c>
      <c r="F101" s="473" t="s">
        <v>674</v>
      </c>
      <c r="G101" s="462"/>
      <c r="H101" s="463">
        <v>43441</v>
      </c>
      <c r="I101" s="463"/>
      <c r="J101" s="464">
        <v>2</v>
      </c>
      <c r="K101" s="464">
        <v>1.4</v>
      </c>
      <c r="L101" s="464">
        <f t="shared" si="4"/>
        <v>21</v>
      </c>
      <c r="M101" s="465">
        <f t="shared" si="5"/>
        <v>0.56756756756756754</v>
      </c>
      <c r="N101" s="464">
        <v>3</v>
      </c>
      <c r="O101" s="466">
        <v>43444</v>
      </c>
      <c r="P101" s="467">
        <v>-1</v>
      </c>
      <c r="Q101" s="468">
        <v>1</v>
      </c>
      <c r="R101" s="467">
        <v>1</v>
      </c>
      <c r="S101" s="467">
        <v>1</v>
      </c>
      <c r="T101" s="467">
        <v>1</v>
      </c>
      <c r="U101" s="467">
        <v>1</v>
      </c>
      <c r="V101" s="469">
        <v>1</v>
      </c>
      <c r="W101" s="467">
        <v>1</v>
      </c>
      <c r="X101" s="467">
        <v>1</v>
      </c>
      <c r="Y101" s="467">
        <v>1</v>
      </c>
      <c r="Z101" s="467">
        <v>1</v>
      </c>
      <c r="AA101" s="467">
        <v>1</v>
      </c>
      <c r="AB101" s="467">
        <v>1</v>
      </c>
      <c r="AC101" s="474">
        <v>1</v>
      </c>
      <c r="AD101" s="467">
        <v>1</v>
      </c>
      <c r="AE101" s="467">
        <v>1</v>
      </c>
      <c r="AF101" s="468">
        <v>0</v>
      </c>
      <c r="AG101" s="467">
        <v>0</v>
      </c>
      <c r="AH101" s="467">
        <v>1</v>
      </c>
      <c r="AI101" s="469">
        <v>0</v>
      </c>
      <c r="AJ101" s="467">
        <v>1</v>
      </c>
      <c r="AK101" s="467">
        <v>1</v>
      </c>
      <c r="AL101" s="467">
        <v>0</v>
      </c>
      <c r="AM101" s="467">
        <v>0</v>
      </c>
      <c r="AN101" s="468">
        <v>0</v>
      </c>
      <c r="AO101" s="467">
        <v>0</v>
      </c>
      <c r="AP101" s="467">
        <v>1</v>
      </c>
      <c r="AQ101" s="469">
        <v>0</v>
      </c>
      <c r="AR101" s="468">
        <v>0</v>
      </c>
      <c r="AS101" s="467">
        <v>1</v>
      </c>
      <c r="AT101" s="467">
        <v>0</v>
      </c>
      <c r="AU101" s="469">
        <v>1</v>
      </c>
      <c r="AV101" s="467">
        <v>0</v>
      </c>
      <c r="AW101" s="467">
        <v>0</v>
      </c>
      <c r="AX101" s="470">
        <v>1</v>
      </c>
    </row>
    <row r="102" spans="1:50" ht="17.399999999999999" customHeight="1">
      <c r="A102" s="403">
        <v>3282</v>
      </c>
      <c r="B102" s="409" t="s">
        <v>23</v>
      </c>
      <c r="C102" s="409">
        <v>16</v>
      </c>
      <c r="D102" s="405">
        <v>7</v>
      </c>
      <c r="E102" s="410" t="s">
        <v>627</v>
      </c>
      <c r="F102" s="411" t="s">
        <v>691</v>
      </c>
      <c r="G102" s="430">
        <v>43403</v>
      </c>
      <c r="H102" s="377">
        <v>43403</v>
      </c>
      <c r="I102" s="383"/>
      <c r="J102" s="378">
        <v>1</v>
      </c>
      <c r="K102" s="378">
        <v>1.5</v>
      </c>
      <c r="L102" s="378">
        <f t="shared" si="4"/>
        <v>34</v>
      </c>
      <c r="M102" s="408">
        <f t="shared" si="5"/>
        <v>0.91891891891891897</v>
      </c>
      <c r="N102" s="378">
        <v>5</v>
      </c>
      <c r="O102" s="431">
        <v>43410</v>
      </c>
      <c r="P102" s="379"/>
      <c r="Q102" s="380">
        <v>1</v>
      </c>
      <c r="R102" s="379">
        <v>1</v>
      </c>
      <c r="S102" s="379">
        <v>1</v>
      </c>
      <c r="T102" s="379">
        <v>1</v>
      </c>
      <c r="U102" s="379">
        <v>1</v>
      </c>
      <c r="V102" s="381">
        <v>1</v>
      </c>
      <c r="W102" s="379">
        <v>1</v>
      </c>
      <c r="X102" s="379">
        <v>1</v>
      </c>
      <c r="Y102" s="379">
        <v>1</v>
      </c>
      <c r="Z102" s="379">
        <v>1</v>
      </c>
      <c r="AA102" s="379">
        <v>1</v>
      </c>
      <c r="AB102" s="379">
        <v>1</v>
      </c>
      <c r="AC102" s="379">
        <v>1</v>
      </c>
      <c r="AD102" s="379">
        <v>1</v>
      </c>
      <c r="AE102" s="379">
        <v>0</v>
      </c>
      <c r="AF102" s="380">
        <v>1</v>
      </c>
      <c r="AG102" s="379">
        <v>1</v>
      </c>
      <c r="AH102" s="379">
        <v>1</v>
      </c>
      <c r="AI102" s="381">
        <v>1</v>
      </c>
      <c r="AJ102" s="379">
        <v>1</v>
      </c>
      <c r="AK102" s="379">
        <v>1</v>
      </c>
      <c r="AL102" s="379">
        <v>1</v>
      </c>
      <c r="AM102" s="379">
        <v>1</v>
      </c>
      <c r="AN102" s="380">
        <v>1</v>
      </c>
      <c r="AO102" s="379">
        <v>1</v>
      </c>
      <c r="AP102" s="379">
        <v>1</v>
      </c>
      <c r="AQ102" s="381">
        <v>0</v>
      </c>
      <c r="AR102" s="380">
        <v>1</v>
      </c>
      <c r="AS102" s="379">
        <v>1</v>
      </c>
      <c r="AT102" s="379">
        <v>1</v>
      </c>
      <c r="AU102" s="381">
        <v>1</v>
      </c>
      <c r="AV102" s="379">
        <v>2</v>
      </c>
      <c r="AW102" s="379">
        <v>1</v>
      </c>
      <c r="AX102" s="382">
        <v>2</v>
      </c>
    </row>
    <row r="103" spans="1:50" ht="17.399999999999999" customHeight="1">
      <c r="A103" s="403">
        <v>3283</v>
      </c>
      <c r="B103" s="409" t="s">
        <v>23</v>
      </c>
      <c r="C103" s="409">
        <v>17</v>
      </c>
      <c r="D103" s="405">
        <v>8</v>
      </c>
      <c r="E103" s="410" t="s">
        <v>628</v>
      </c>
      <c r="F103" s="411" t="s">
        <v>2</v>
      </c>
      <c r="G103" s="430">
        <v>43430</v>
      </c>
      <c r="H103" s="377">
        <v>43427</v>
      </c>
      <c r="I103" s="383"/>
      <c r="J103" s="378">
        <v>1</v>
      </c>
      <c r="K103" s="378">
        <v>1.5</v>
      </c>
      <c r="L103" s="378">
        <f t="shared" si="4"/>
        <v>19</v>
      </c>
      <c r="M103" s="408">
        <f t="shared" si="5"/>
        <v>0.51351351351351349</v>
      </c>
      <c r="N103" s="378" t="s">
        <v>31</v>
      </c>
      <c r="O103" s="431">
        <v>43430</v>
      </c>
      <c r="P103" s="379">
        <v>-4</v>
      </c>
      <c r="Q103" s="380">
        <v>1</v>
      </c>
      <c r="R103" s="379">
        <v>1</v>
      </c>
      <c r="S103" s="379">
        <v>1</v>
      </c>
      <c r="T103" s="379">
        <v>1</v>
      </c>
      <c r="U103" s="379">
        <v>1</v>
      </c>
      <c r="V103" s="381">
        <v>0</v>
      </c>
      <c r="W103" s="379">
        <v>1</v>
      </c>
      <c r="X103" s="379">
        <v>1</v>
      </c>
      <c r="Y103" s="379">
        <v>1</v>
      </c>
      <c r="Z103" s="379">
        <v>1</v>
      </c>
      <c r="AA103" s="379">
        <v>1</v>
      </c>
      <c r="AB103" s="379">
        <v>1</v>
      </c>
      <c r="AC103" s="379">
        <v>0</v>
      </c>
      <c r="AD103" s="379">
        <v>1</v>
      </c>
      <c r="AE103" s="379">
        <v>1</v>
      </c>
      <c r="AF103" s="380">
        <v>0</v>
      </c>
      <c r="AG103" s="379">
        <v>0</v>
      </c>
      <c r="AH103" s="379">
        <v>0</v>
      </c>
      <c r="AI103" s="381">
        <v>0</v>
      </c>
      <c r="AJ103" s="379">
        <v>1</v>
      </c>
      <c r="AK103" s="379">
        <v>1</v>
      </c>
      <c r="AL103" s="379">
        <v>1</v>
      </c>
      <c r="AM103" s="379">
        <v>1</v>
      </c>
      <c r="AN103" s="380">
        <v>0</v>
      </c>
      <c r="AO103" s="379">
        <v>1</v>
      </c>
      <c r="AP103" s="379">
        <v>0</v>
      </c>
      <c r="AQ103" s="381">
        <v>0</v>
      </c>
      <c r="AR103" s="380">
        <v>1</v>
      </c>
      <c r="AS103" s="379">
        <v>1</v>
      </c>
      <c r="AT103" s="379">
        <v>0</v>
      </c>
      <c r="AU103" s="381">
        <v>1</v>
      </c>
      <c r="AV103" s="379">
        <v>2</v>
      </c>
      <c r="AW103" s="379">
        <v>0</v>
      </c>
      <c r="AX103" s="453">
        <v>0</v>
      </c>
    </row>
    <row r="104" spans="1:50" ht="17.399999999999999" customHeight="1">
      <c r="A104" s="403">
        <v>3284</v>
      </c>
      <c r="B104" s="409" t="s">
        <v>23</v>
      </c>
      <c r="C104" s="409">
        <v>18</v>
      </c>
      <c r="D104" s="405">
        <v>13</v>
      </c>
      <c r="E104" s="410" t="s">
        <v>629</v>
      </c>
      <c r="F104" s="411" t="s">
        <v>82</v>
      </c>
      <c r="G104" s="430">
        <v>43420</v>
      </c>
      <c r="H104" s="377">
        <v>43420</v>
      </c>
      <c r="I104" s="383"/>
      <c r="J104" s="378">
        <v>1</v>
      </c>
      <c r="K104" s="378">
        <v>1.5</v>
      </c>
      <c r="L104" s="378">
        <f t="shared" si="4"/>
        <v>17</v>
      </c>
      <c r="M104" s="408">
        <f t="shared" si="5"/>
        <v>0.45945945945945948</v>
      </c>
      <c r="N104" s="378" t="s">
        <v>35</v>
      </c>
      <c r="O104" s="431">
        <v>43420</v>
      </c>
      <c r="P104" s="379">
        <v>-3</v>
      </c>
      <c r="Q104" s="380">
        <v>1</v>
      </c>
      <c r="R104" s="379">
        <v>1</v>
      </c>
      <c r="S104" s="379">
        <v>1</v>
      </c>
      <c r="T104" s="379">
        <v>1</v>
      </c>
      <c r="U104" s="379">
        <v>1</v>
      </c>
      <c r="V104" s="381">
        <v>0</v>
      </c>
      <c r="W104" s="379">
        <v>1</v>
      </c>
      <c r="X104" s="379">
        <v>1</v>
      </c>
      <c r="Y104" s="379">
        <v>1</v>
      </c>
      <c r="Z104" s="379">
        <v>0</v>
      </c>
      <c r="AA104" s="379">
        <v>0</v>
      </c>
      <c r="AB104" s="379">
        <v>1</v>
      </c>
      <c r="AC104" s="443">
        <v>0</v>
      </c>
      <c r="AD104" s="379">
        <v>1</v>
      </c>
      <c r="AE104" s="379">
        <v>1</v>
      </c>
      <c r="AF104" s="380">
        <v>0</v>
      </c>
      <c r="AG104" s="379">
        <v>1</v>
      </c>
      <c r="AH104" s="379">
        <v>0</v>
      </c>
      <c r="AI104" s="381">
        <v>0</v>
      </c>
      <c r="AJ104" s="379">
        <v>1</v>
      </c>
      <c r="AK104" s="379">
        <v>1</v>
      </c>
      <c r="AL104" s="379">
        <v>1</v>
      </c>
      <c r="AM104" s="379">
        <v>1</v>
      </c>
      <c r="AN104" s="380">
        <v>1</v>
      </c>
      <c r="AO104" s="379">
        <v>0</v>
      </c>
      <c r="AP104" s="379">
        <v>1</v>
      </c>
      <c r="AQ104" s="381">
        <v>0</v>
      </c>
      <c r="AR104" s="380">
        <v>0</v>
      </c>
      <c r="AS104" s="379">
        <v>1</v>
      </c>
      <c r="AT104" s="379">
        <v>0</v>
      </c>
      <c r="AU104" s="381">
        <v>0</v>
      </c>
      <c r="AV104" s="379">
        <v>0</v>
      </c>
      <c r="AW104" s="443">
        <v>0</v>
      </c>
      <c r="AX104" s="453">
        <v>1</v>
      </c>
    </row>
    <row r="105" spans="1:50" ht="17.399999999999999" customHeight="1">
      <c r="A105" s="403">
        <v>3285</v>
      </c>
      <c r="B105" s="409" t="s">
        <v>23</v>
      </c>
      <c r="C105" s="409">
        <v>19</v>
      </c>
      <c r="D105" s="405">
        <v>7</v>
      </c>
      <c r="E105" s="410" t="s">
        <v>630</v>
      </c>
      <c r="F105" s="411" t="s">
        <v>174</v>
      </c>
      <c r="G105" s="430">
        <v>43403</v>
      </c>
      <c r="H105" s="377">
        <v>43403</v>
      </c>
      <c r="I105" s="383"/>
      <c r="J105" s="378">
        <v>1</v>
      </c>
      <c r="K105" s="378">
        <v>1.5</v>
      </c>
      <c r="L105" s="378">
        <f t="shared" si="4"/>
        <v>32</v>
      </c>
      <c r="M105" s="408">
        <f t="shared" si="5"/>
        <v>0.86486486486486491</v>
      </c>
      <c r="N105" s="378" t="s">
        <v>33</v>
      </c>
      <c r="O105" s="431">
        <v>43410</v>
      </c>
      <c r="P105" s="379">
        <v>-1</v>
      </c>
      <c r="Q105" s="380">
        <v>1</v>
      </c>
      <c r="R105" s="379">
        <v>1</v>
      </c>
      <c r="S105" s="379">
        <v>1</v>
      </c>
      <c r="T105" s="379">
        <v>1</v>
      </c>
      <c r="U105" s="379">
        <v>1</v>
      </c>
      <c r="V105" s="381">
        <v>1</v>
      </c>
      <c r="W105" s="379">
        <v>1</v>
      </c>
      <c r="X105" s="379">
        <v>1</v>
      </c>
      <c r="Y105" s="379">
        <v>1</v>
      </c>
      <c r="Z105" s="379">
        <v>0</v>
      </c>
      <c r="AA105" s="379">
        <v>1</v>
      </c>
      <c r="AB105" s="379">
        <v>1</v>
      </c>
      <c r="AC105" s="379">
        <v>1</v>
      </c>
      <c r="AD105" s="379">
        <v>1</v>
      </c>
      <c r="AE105" s="379">
        <v>0</v>
      </c>
      <c r="AF105" s="380">
        <v>1</v>
      </c>
      <c r="AG105" s="379">
        <v>1</v>
      </c>
      <c r="AH105" s="379">
        <v>1</v>
      </c>
      <c r="AI105" s="381">
        <v>1</v>
      </c>
      <c r="AJ105" s="379">
        <v>1</v>
      </c>
      <c r="AK105" s="379">
        <v>1</v>
      </c>
      <c r="AL105" s="379">
        <v>0</v>
      </c>
      <c r="AM105" s="379">
        <v>1</v>
      </c>
      <c r="AN105" s="380">
        <v>1</v>
      </c>
      <c r="AO105" s="379">
        <v>1</v>
      </c>
      <c r="AP105" s="379">
        <v>1</v>
      </c>
      <c r="AQ105" s="381">
        <v>1</v>
      </c>
      <c r="AR105" s="380">
        <v>1</v>
      </c>
      <c r="AS105" s="379">
        <v>1</v>
      </c>
      <c r="AT105" s="379">
        <v>1</v>
      </c>
      <c r="AU105" s="381">
        <v>1</v>
      </c>
      <c r="AV105" s="379">
        <v>2</v>
      </c>
      <c r="AW105" s="379">
        <v>1</v>
      </c>
      <c r="AX105" s="382">
        <v>2</v>
      </c>
    </row>
    <row r="106" spans="1:50" ht="17.399999999999999" customHeight="1">
      <c r="A106" s="403">
        <v>3286</v>
      </c>
      <c r="B106" s="409" t="s">
        <v>23</v>
      </c>
      <c r="C106" s="409">
        <v>20</v>
      </c>
      <c r="D106" s="405">
        <v>7</v>
      </c>
      <c r="E106" s="410" t="s">
        <v>631</v>
      </c>
      <c r="F106" s="411" t="s">
        <v>400</v>
      </c>
      <c r="G106" s="430">
        <v>43403</v>
      </c>
      <c r="H106" s="377">
        <v>43403</v>
      </c>
      <c r="I106" s="383"/>
      <c r="J106" s="378">
        <v>1</v>
      </c>
      <c r="K106" s="378">
        <v>1.5</v>
      </c>
      <c r="L106" s="378">
        <f t="shared" si="4"/>
        <v>26</v>
      </c>
      <c r="M106" s="408">
        <f t="shared" si="5"/>
        <v>0.70270270270270274</v>
      </c>
      <c r="N106" s="378" t="s">
        <v>32</v>
      </c>
      <c r="O106" s="431">
        <v>43417</v>
      </c>
      <c r="P106" s="379">
        <v>-1</v>
      </c>
      <c r="Q106" s="380">
        <v>1</v>
      </c>
      <c r="R106" s="379">
        <v>1</v>
      </c>
      <c r="S106" s="379">
        <v>1</v>
      </c>
      <c r="T106" s="379">
        <v>1</v>
      </c>
      <c r="U106" s="379">
        <v>1</v>
      </c>
      <c r="V106" s="381">
        <v>1</v>
      </c>
      <c r="W106" s="379">
        <v>1</v>
      </c>
      <c r="X106" s="379">
        <v>1</v>
      </c>
      <c r="Y106" s="379">
        <v>1</v>
      </c>
      <c r="Z106" s="379">
        <v>1</v>
      </c>
      <c r="AA106" s="379">
        <v>1</v>
      </c>
      <c r="AB106" s="379">
        <v>1</v>
      </c>
      <c r="AC106" s="443">
        <v>0</v>
      </c>
      <c r="AD106" s="379">
        <v>1</v>
      </c>
      <c r="AE106" s="379">
        <v>1</v>
      </c>
      <c r="AF106" s="380">
        <v>1</v>
      </c>
      <c r="AG106" s="379">
        <v>1</v>
      </c>
      <c r="AH106" s="379">
        <v>1</v>
      </c>
      <c r="AI106" s="381">
        <v>1</v>
      </c>
      <c r="AJ106" s="379">
        <v>1</v>
      </c>
      <c r="AK106" s="379">
        <v>1</v>
      </c>
      <c r="AL106" s="379">
        <v>0</v>
      </c>
      <c r="AM106" s="379">
        <v>1</v>
      </c>
      <c r="AN106" s="380">
        <v>1</v>
      </c>
      <c r="AO106" s="379">
        <v>1</v>
      </c>
      <c r="AP106" s="379">
        <v>1</v>
      </c>
      <c r="AQ106" s="381">
        <v>1</v>
      </c>
      <c r="AR106" s="380">
        <v>0</v>
      </c>
      <c r="AS106" s="379">
        <v>1</v>
      </c>
      <c r="AT106" s="379">
        <v>1</v>
      </c>
      <c r="AU106" s="381">
        <v>0</v>
      </c>
      <c r="AV106" s="379">
        <v>0</v>
      </c>
      <c r="AW106" s="379">
        <v>0</v>
      </c>
      <c r="AX106" s="382">
        <v>0</v>
      </c>
    </row>
    <row r="107" spans="1:50" ht="17.399999999999999" customHeight="1">
      <c r="A107" s="403">
        <v>3287</v>
      </c>
      <c r="B107" s="409" t="s">
        <v>23</v>
      </c>
      <c r="C107" s="409">
        <v>21</v>
      </c>
      <c r="D107" s="405">
        <v>8</v>
      </c>
      <c r="E107" s="410" t="s">
        <v>632</v>
      </c>
      <c r="F107" s="411" t="s">
        <v>692</v>
      </c>
      <c r="G107" s="430">
        <v>43409</v>
      </c>
      <c r="H107" s="377">
        <v>43409</v>
      </c>
      <c r="I107" s="383"/>
      <c r="J107" s="378">
        <v>1</v>
      </c>
      <c r="K107" s="378">
        <v>1.5</v>
      </c>
      <c r="L107" s="378">
        <f t="shared" si="4"/>
        <v>28</v>
      </c>
      <c r="M107" s="408">
        <f t="shared" si="5"/>
        <v>0.7567567567567568</v>
      </c>
      <c r="N107" s="378">
        <v>4</v>
      </c>
      <c r="O107" s="431">
        <v>43411</v>
      </c>
      <c r="P107" s="379"/>
      <c r="Q107" s="380">
        <v>1</v>
      </c>
      <c r="R107" s="379">
        <v>1</v>
      </c>
      <c r="S107" s="379">
        <v>1</v>
      </c>
      <c r="T107" s="379">
        <v>1</v>
      </c>
      <c r="U107" s="379">
        <v>1</v>
      </c>
      <c r="V107" s="381">
        <v>1</v>
      </c>
      <c r="W107" s="379">
        <v>1</v>
      </c>
      <c r="X107" s="379">
        <v>1</v>
      </c>
      <c r="Y107" s="379">
        <v>1</v>
      </c>
      <c r="Z107" s="379">
        <v>1</v>
      </c>
      <c r="AA107" s="379">
        <v>1</v>
      </c>
      <c r="AB107" s="379">
        <v>1</v>
      </c>
      <c r="AC107" s="379">
        <v>0</v>
      </c>
      <c r="AD107" s="379">
        <v>0</v>
      </c>
      <c r="AE107" s="379">
        <v>1</v>
      </c>
      <c r="AF107" s="380">
        <v>0</v>
      </c>
      <c r="AG107" s="379">
        <v>0</v>
      </c>
      <c r="AH107" s="379">
        <v>0</v>
      </c>
      <c r="AI107" s="381">
        <v>0</v>
      </c>
      <c r="AJ107" s="379">
        <v>1</v>
      </c>
      <c r="AK107" s="379">
        <v>1</v>
      </c>
      <c r="AL107" s="379">
        <v>1</v>
      </c>
      <c r="AM107" s="379">
        <v>1</v>
      </c>
      <c r="AN107" s="380">
        <v>1</v>
      </c>
      <c r="AO107" s="379">
        <v>1</v>
      </c>
      <c r="AP107" s="379">
        <v>1</v>
      </c>
      <c r="AQ107" s="381">
        <v>1</v>
      </c>
      <c r="AR107" s="380">
        <v>0</v>
      </c>
      <c r="AS107" s="379">
        <v>0</v>
      </c>
      <c r="AT107" s="379">
        <v>1</v>
      </c>
      <c r="AU107" s="381">
        <v>1</v>
      </c>
      <c r="AV107" s="379">
        <v>2</v>
      </c>
      <c r="AW107" s="379">
        <v>0</v>
      </c>
      <c r="AX107" s="382">
        <v>3</v>
      </c>
    </row>
    <row r="108" spans="1:50" ht="17.399999999999999" customHeight="1">
      <c r="A108" s="403">
        <v>3288</v>
      </c>
      <c r="B108" s="409" t="s">
        <v>23</v>
      </c>
      <c r="C108" s="409">
        <v>22</v>
      </c>
      <c r="D108" s="405">
        <v>7</v>
      </c>
      <c r="E108" s="410" t="s">
        <v>633</v>
      </c>
      <c r="F108" s="411" t="s">
        <v>351</v>
      </c>
      <c r="G108" s="430">
        <v>43403</v>
      </c>
      <c r="H108" s="377">
        <v>43403</v>
      </c>
      <c r="I108" s="383"/>
      <c r="J108" s="378">
        <v>1</v>
      </c>
      <c r="K108" s="378">
        <v>1.5</v>
      </c>
      <c r="L108" s="378">
        <f t="shared" si="4"/>
        <v>26</v>
      </c>
      <c r="M108" s="408">
        <f t="shared" si="5"/>
        <v>0.70270270270270274</v>
      </c>
      <c r="N108" s="378" t="s">
        <v>32</v>
      </c>
      <c r="O108" s="431">
        <v>43425</v>
      </c>
      <c r="P108" s="379"/>
      <c r="Q108" s="380">
        <v>1</v>
      </c>
      <c r="R108" s="379">
        <v>1</v>
      </c>
      <c r="S108" s="379">
        <v>1</v>
      </c>
      <c r="T108" s="379">
        <v>1</v>
      </c>
      <c r="U108" s="379">
        <v>1</v>
      </c>
      <c r="V108" s="381">
        <v>0</v>
      </c>
      <c r="W108" s="379">
        <v>1</v>
      </c>
      <c r="X108" s="379">
        <v>0</v>
      </c>
      <c r="Y108" s="379">
        <v>0</v>
      </c>
      <c r="Z108" s="379">
        <v>0</v>
      </c>
      <c r="AA108" s="379">
        <v>0</v>
      </c>
      <c r="AB108" s="379">
        <v>1</v>
      </c>
      <c r="AC108" s="379">
        <v>1</v>
      </c>
      <c r="AD108" s="379">
        <v>1</v>
      </c>
      <c r="AE108" s="379">
        <v>1</v>
      </c>
      <c r="AF108" s="380">
        <v>1</v>
      </c>
      <c r="AG108" s="379">
        <v>1</v>
      </c>
      <c r="AH108" s="379">
        <v>1</v>
      </c>
      <c r="AI108" s="381">
        <v>1</v>
      </c>
      <c r="AJ108" s="379">
        <v>1</v>
      </c>
      <c r="AK108" s="379">
        <v>1</v>
      </c>
      <c r="AL108" s="379">
        <v>1</v>
      </c>
      <c r="AM108" s="379">
        <v>1</v>
      </c>
      <c r="AN108" s="380">
        <v>1</v>
      </c>
      <c r="AO108" s="379">
        <v>1</v>
      </c>
      <c r="AP108" s="379">
        <v>1</v>
      </c>
      <c r="AQ108" s="381">
        <v>1</v>
      </c>
      <c r="AR108" s="380">
        <v>1</v>
      </c>
      <c r="AS108" s="379">
        <v>1</v>
      </c>
      <c r="AT108" s="379">
        <v>0</v>
      </c>
      <c r="AU108" s="381">
        <v>1</v>
      </c>
      <c r="AV108" s="379">
        <v>0</v>
      </c>
      <c r="AW108" s="379">
        <v>1</v>
      </c>
      <c r="AX108" s="382">
        <v>0</v>
      </c>
    </row>
    <row r="109" spans="1:50" ht="17.399999999999999" customHeight="1">
      <c r="A109" s="403">
        <v>3292</v>
      </c>
      <c r="B109" s="409" t="s">
        <v>23</v>
      </c>
      <c r="C109" s="409">
        <v>23</v>
      </c>
      <c r="D109" s="405">
        <v>8</v>
      </c>
      <c r="E109" s="410" t="s">
        <v>634</v>
      </c>
      <c r="F109" s="411" t="s">
        <v>0</v>
      </c>
      <c r="G109" s="430">
        <v>43409</v>
      </c>
      <c r="H109" s="377">
        <v>43409</v>
      </c>
      <c r="I109" s="383"/>
      <c r="J109" s="378">
        <v>1</v>
      </c>
      <c r="K109" s="378">
        <v>1.5</v>
      </c>
      <c r="L109" s="378">
        <f t="shared" si="4"/>
        <v>37</v>
      </c>
      <c r="M109" s="408">
        <f t="shared" si="5"/>
        <v>1</v>
      </c>
      <c r="N109" s="378">
        <v>6</v>
      </c>
      <c r="O109" s="431">
        <v>43411</v>
      </c>
      <c r="P109" s="379"/>
      <c r="Q109" s="380">
        <v>1</v>
      </c>
      <c r="R109" s="379">
        <v>1</v>
      </c>
      <c r="S109" s="379">
        <v>1</v>
      </c>
      <c r="T109" s="379">
        <v>1</v>
      </c>
      <c r="U109" s="379">
        <v>1</v>
      </c>
      <c r="V109" s="381">
        <v>1</v>
      </c>
      <c r="W109" s="379">
        <v>1</v>
      </c>
      <c r="X109" s="379">
        <v>1</v>
      </c>
      <c r="Y109" s="379">
        <v>1</v>
      </c>
      <c r="Z109" s="379">
        <v>1</v>
      </c>
      <c r="AA109" s="379">
        <v>1</v>
      </c>
      <c r="AB109" s="379">
        <v>1</v>
      </c>
      <c r="AC109" s="379">
        <v>1</v>
      </c>
      <c r="AD109" s="379">
        <v>1</v>
      </c>
      <c r="AE109" s="379">
        <v>1</v>
      </c>
      <c r="AF109" s="380">
        <v>1</v>
      </c>
      <c r="AG109" s="379">
        <v>1</v>
      </c>
      <c r="AH109" s="379">
        <v>1</v>
      </c>
      <c r="AI109" s="381">
        <v>1</v>
      </c>
      <c r="AJ109" s="379">
        <v>1</v>
      </c>
      <c r="AK109" s="379">
        <v>1</v>
      </c>
      <c r="AL109" s="379">
        <v>1</v>
      </c>
      <c r="AM109" s="379">
        <v>1</v>
      </c>
      <c r="AN109" s="380">
        <v>1</v>
      </c>
      <c r="AO109" s="379">
        <v>1</v>
      </c>
      <c r="AP109" s="379">
        <v>1</v>
      </c>
      <c r="AQ109" s="381">
        <v>1</v>
      </c>
      <c r="AR109" s="380">
        <v>1</v>
      </c>
      <c r="AS109" s="379">
        <v>1</v>
      </c>
      <c r="AT109" s="379">
        <v>1</v>
      </c>
      <c r="AU109" s="381">
        <v>1</v>
      </c>
      <c r="AV109" s="379">
        <v>2</v>
      </c>
      <c r="AW109" s="379">
        <v>1</v>
      </c>
      <c r="AX109" s="382">
        <v>3</v>
      </c>
    </row>
    <row r="110" spans="1:50" ht="17.399999999999999" customHeight="1">
      <c r="A110" s="403">
        <v>3289</v>
      </c>
      <c r="B110" s="409" t="s">
        <v>23</v>
      </c>
      <c r="C110" s="409">
        <v>24</v>
      </c>
      <c r="D110" s="405">
        <v>7</v>
      </c>
      <c r="E110" s="410" t="s">
        <v>439</v>
      </c>
      <c r="F110" s="411" t="s">
        <v>68</v>
      </c>
      <c r="G110" s="430">
        <v>43403</v>
      </c>
      <c r="H110" s="377">
        <v>43403</v>
      </c>
      <c r="I110" s="383"/>
      <c r="J110" s="378">
        <v>1</v>
      </c>
      <c r="K110" s="378">
        <v>1.5</v>
      </c>
      <c r="L110" s="378">
        <f t="shared" si="4"/>
        <v>25</v>
      </c>
      <c r="M110" s="408">
        <f t="shared" si="5"/>
        <v>0.67567567567567566</v>
      </c>
      <c r="N110" s="378">
        <v>3</v>
      </c>
      <c r="O110" s="431">
        <v>43410</v>
      </c>
      <c r="P110" s="379"/>
      <c r="Q110" s="380">
        <v>1</v>
      </c>
      <c r="R110" s="379">
        <v>1</v>
      </c>
      <c r="S110" s="379">
        <v>1</v>
      </c>
      <c r="T110" s="379">
        <v>1</v>
      </c>
      <c r="U110" s="379">
        <v>1</v>
      </c>
      <c r="V110" s="381">
        <v>1</v>
      </c>
      <c r="W110" s="379">
        <v>1</v>
      </c>
      <c r="X110" s="379">
        <v>1</v>
      </c>
      <c r="Y110" s="379">
        <v>1</v>
      </c>
      <c r="Z110" s="379">
        <v>1</v>
      </c>
      <c r="AA110" s="379">
        <v>1</v>
      </c>
      <c r="AB110" s="379">
        <v>1</v>
      </c>
      <c r="AC110" s="379">
        <v>1</v>
      </c>
      <c r="AD110" s="379">
        <v>1</v>
      </c>
      <c r="AE110" s="379">
        <v>1</v>
      </c>
      <c r="AF110" s="380">
        <v>1</v>
      </c>
      <c r="AG110" s="379">
        <v>1</v>
      </c>
      <c r="AH110" s="379">
        <v>0</v>
      </c>
      <c r="AI110" s="381">
        <v>1</v>
      </c>
      <c r="AJ110" s="379">
        <v>1</v>
      </c>
      <c r="AK110" s="379">
        <v>1</v>
      </c>
      <c r="AL110" s="379">
        <v>0</v>
      </c>
      <c r="AM110" s="379">
        <v>1</v>
      </c>
      <c r="AN110" s="380">
        <v>0</v>
      </c>
      <c r="AO110" s="379">
        <v>1</v>
      </c>
      <c r="AP110" s="379">
        <v>1</v>
      </c>
      <c r="AQ110" s="381">
        <v>0</v>
      </c>
      <c r="AR110" s="380">
        <v>0</v>
      </c>
      <c r="AS110" s="379">
        <v>1</v>
      </c>
      <c r="AT110" s="379">
        <v>0</v>
      </c>
      <c r="AU110" s="381">
        <v>0</v>
      </c>
      <c r="AV110" s="379">
        <v>0</v>
      </c>
      <c r="AW110" s="379">
        <v>1</v>
      </c>
      <c r="AX110" s="382">
        <v>0</v>
      </c>
    </row>
    <row r="111" spans="1:50" ht="17.399999999999999" customHeight="1">
      <c r="A111" s="403">
        <v>3290</v>
      </c>
      <c r="B111" s="409" t="s">
        <v>23</v>
      </c>
      <c r="C111" s="409">
        <v>25</v>
      </c>
      <c r="D111" s="405">
        <v>13</v>
      </c>
      <c r="E111" s="410" t="s">
        <v>635</v>
      </c>
      <c r="F111" s="411" t="s">
        <v>16</v>
      </c>
      <c r="G111" s="430">
        <v>43420</v>
      </c>
      <c r="H111" s="377">
        <v>43420</v>
      </c>
      <c r="I111" s="383"/>
      <c r="J111" s="378">
        <v>1</v>
      </c>
      <c r="K111" s="378">
        <v>1.5</v>
      </c>
      <c r="L111" s="378">
        <f t="shared" si="4"/>
        <v>33</v>
      </c>
      <c r="M111" s="408">
        <f t="shared" si="5"/>
        <v>0.89189189189189189</v>
      </c>
      <c r="N111" s="378">
        <v>5</v>
      </c>
      <c r="O111" s="431">
        <v>43420</v>
      </c>
      <c r="P111" s="379"/>
      <c r="Q111" s="380">
        <v>1</v>
      </c>
      <c r="R111" s="379">
        <v>1</v>
      </c>
      <c r="S111" s="379">
        <v>1</v>
      </c>
      <c r="T111" s="379">
        <v>1</v>
      </c>
      <c r="U111" s="379">
        <v>1</v>
      </c>
      <c r="V111" s="381">
        <v>0</v>
      </c>
      <c r="W111" s="379">
        <v>1</v>
      </c>
      <c r="X111" s="379">
        <v>1</v>
      </c>
      <c r="Y111" s="379">
        <v>1</v>
      </c>
      <c r="Z111" s="379">
        <v>1</v>
      </c>
      <c r="AA111" s="379">
        <v>1</v>
      </c>
      <c r="AB111" s="379">
        <v>1</v>
      </c>
      <c r="AC111" s="379">
        <v>1</v>
      </c>
      <c r="AD111" s="379">
        <v>1</v>
      </c>
      <c r="AE111" s="379">
        <v>1</v>
      </c>
      <c r="AF111" s="380">
        <v>0</v>
      </c>
      <c r="AG111" s="379">
        <v>1</v>
      </c>
      <c r="AH111" s="379">
        <v>1</v>
      </c>
      <c r="AI111" s="381">
        <v>1</v>
      </c>
      <c r="AJ111" s="379">
        <v>1</v>
      </c>
      <c r="AK111" s="379">
        <v>1</v>
      </c>
      <c r="AL111" s="379">
        <v>1</v>
      </c>
      <c r="AM111" s="379">
        <v>1</v>
      </c>
      <c r="AN111" s="380">
        <v>1</v>
      </c>
      <c r="AO111" s="379">
        <v>1</v>
      </c>
      <c r="AP111" s="379">
        <v>1</v>
      </c>
      <c r="AQ111" s="381">
        <v>1</v>
      </c>
      <c r="AR111" s="380">
        <v>1</v>
      </c>
      <c r="AS111" s="379">
        <v>1</v>
      </c>
      <c r="AT111" s="379">
        <v>1</v>
      </c>
      <c r="AU111" s="381">
        <v>1</v>
      </c>
      <c r="AV111" s="379">
        <v>0</v>
      </c>
      <c r="AW111" s="379">
        <v>1</v>
      </c>
      <c r="AX111" s="382">
        <v>3</v>
      </c>
    </row>
    <row r="112" spans="1:50" ht="17.399999999999999" customHeight="1">
      <c r="A112" s="403">
        <v>3291</v>
      </c>
      <c r="B112" s="409" t="s">
        <v>23</v>
      </c>
      <c r="C112" s="409">
        <v>26</v>
      </c>
      <c r="D112" s="405">
        <v>8</v>
      </c>
      <c r="E112" s="410" t="s">
        <v>636</v>
      </c>
      <c r="F112" s="411" t="s">
        <v>186</v>
      </c>
      <c r="G112" s="430">
        <v>43430</v>
      </c>
      <c r="H112" s="377">
        <v>43427</v>
      </c>
      <c r="I112" s="383"/>
      <c r="J112" s="378">
        <v>1</v>
      </c>
      <c r="K112" s="378">
        <v>1.5</v>
      </c>
      <c r="L112" s="378">
        <f t="shared" si="4"/>
        <v>21</v>
      </c>
      <c r="M112" s="408">
        <f t="shared" si="5"/>
        <v>0.56756756756756754</v>
      </c>
      <c r="N112" s="378">
        <v>3</v>
      </c>
      <c r="O112" s="431">
        <v>43430</v>
      </c>
      <c r="P112" s="379">
        <v>-3</v>
      </c>
      <c r="Q112" s="380">
        <v>1</v>
      </c>
      <c r="R112" s="379">
        <v>1</v>
      </c>
      <c r="S112" s="379">
        <v>1</v>
      </c>
      <c r="T112" s="379">
        <v>1</v>
      </c>
      <c r="U112" s="379">
        <v>1</v>
      </c>
      <c r="V112" s="381">
        <v>1</v>
      </c>
      <c r="W112" s="379">
        <v>1</v>
      </c>
      <c r="X112" s="379">
        <v>1</v>
      </c>
      <c r="Y112" s="379">
        <v>1</v>
      </c>
      <c r="Z112" s="379">
        <v>0</v>
      </c>
      <c r="AA112" s="379">
        <v>1</v>
      </c>
      <c r="AB112" s="379">
        <v>0</v>
      </c>
      <c r="AC112" s="379">
        <v>0</v>
      </c>
      <c r="AD112" s="379">
        <v>1</v>
      </c>
      <c r="AE112" s="379">
        <v>0</v>
      </c>
      <c r="AF112" s="380">
        <v>1</v>
      </c>
      <c r="AG112" s="379">
        <v>1</v>
      </c>
      <c r="AH112" s="379">
        <v>0</v>
      </c>
      <c r="AI112" s="447">
        <v>0</v>
      </c>
      <c r="AJ112" s="379">
        <v>1</v>
      </c>
      <c r="AK112" s="379">
        <v>1</v>
      </c>
      <c r="AL112" s="379">
        <v>1</v>
      </c>
      <c r="AM112" s="379">
        <v>1</v>
      </c>
      <c r="AN112" s="380">
        <v>0</v>
      </c>
      <c r="AO112" s="379">
        <v>1</v>
      </c>
      <c r="AP112" s="379">
        <v>1</v>
      </c>
      <c r="AQ112" s="381">
        <v>1</v>
      </c>
      <c r="AR112" s="380">
        <v>1</v>
      </c>
      <c r="AS112" s="379">
        <v>1</v>
      </c>
      <c r="AT112" s="379">
        <v>1</v>
      </c>
      <c r="AU112" s="381">
        <v>1</v>
      </c>
      <c r="AV112" s="379">
        <v>0</v>
      </c>
      <c r="AW112" s="379">
        <v>0</v>
      </c>
      <c r="AX112" s="382">
        <v>0</v>
      </c>
    </row>
    <row r="113" spans="1:50" ht="17.399999999999999" customHeight="1">
      <c r="A113" s="403">
        <v>3293</v>
      </c>
      <c r="B113" s="409" t="s">
        <v>23</v>
      </c>
      <c r="C113" s="409">
        <v>27</v>
      </c>
      <c r="D113" s="405">
        <v>8</v>
      </c>
      <c r="E113" s="410" t="s">
        <v>583</v>
      </c>
      <c r="F113" s="411" t="s">
        <v>693</v>
      </c>
      <c r="G113" s="430">
        <v>43409</v>
      </c>
      <c r="H113" s="377">
        <v>43409</v>
      </c>
      <c r="I113" s="393" t="s">
        <v>699</v>
      </c>
      <c r="J113" s="378">
        <v>1</v>
      </c>
      <c r="K113" s="378">
        <v>1.5</v>
      </c>
      <c r="L113" s="378">
        <f t="shared" si="4"/>
        <v>29</v>
      </c>
      <c r="M113" s="408">
        <f t="shared" si="5"/>
        <v>0.78378378378378377</v>
      </c>
      <c r="N113" s="378">
        <v>4</v>
      </c>
      <c r="O113" s="431">
        <v>43411</v>
      </c>
      <c r="P113" s="393">
        <v>-1</v>
      </c>
      <c r="Q113" s="392">
        <v>1</v>
      </c>
      <c r="R113" s="393">
        <v>1</v>
      </c>
      <c r="S113" s="393">
        <v>1</v>
      </c>
      <c r="T113" s="393">
        <v>1</v>
      </c>
      <c r="U113" s="393">
        <v>1</v>
      </c>
      <c r="V113" s="396">
        <v>1</v>
      </c>
      <c r="W113" s="393">
        <v>1</v>
      </c>
      <c r="X113" s="393">
        <v>1</v>
      </c>
      <c r="Y113" s="393">
        <v>1</v>
      </c>
      <c r="Z113" s="393">
        <v>0</v>
      </c>
      <c r="AA113" s="393">
        <v>0</v>
      </c>
      <c r="AB113" s="393">
        <v>1</v>
      </c>
      <c r="AC113" s="445">
        <v>0</v>
      </c>
      <c r="AD113" s="393">
        <v>1</v>
      </c>
      <c r="AE113" s="393">
        <v>1</v>
      </c>
      <c r="AF113" s="392">
        <v>1</v>
      </c>
      <c r="AG113" s="393">
        <v>1</v>
      </c>
      <c r="AH113" s="393">
        <v>1</v>
      </c>
      <c r="AI113" s="396">
        <v>1</v>
      </c>
      <c r="AJ113" s="393">
        <v>1</v>
      </c>
      <c r="AK113" s="393">
        <v>1</v>
      </c>
      <c r="AL113" s="393">
        <v>1</v>
      </c>
      <c r="AM113" s="393">
        <v>1</v>
      </c>
      <c r="AN113" s="392">
        <v>1</v>
      </c>
      <c r="AO113" s="393">
        <v>1</v>
      </c>
      <c r="AP113" s="393">
        <v>1</v>
      </c>
      <c r="AQ113" s="396">
        <v>1</v>
      </c>
      <c r="AR113" s="392">
        <v>1</v>
      </c>
      <c r="AS113" s="393">
        <v>1</v>
      </c>
      <c r="AT113" s="393">
        <v>1</v>
      </c>
      <c r="AU113" s="396">
        <v>1</v>
      </c>
      <c r="AV113" s="393">
        <v>2</v>
      </c>
      <c r="AW113" s="393">
        <v>0</v>
      </c>
      <c r="AX113" s="397">
        <v>0</v>
      </c>
    </row>
    <row r="114" spans="1:50" ht="17.399999999999999" customHeight="1">
      <c r="A114" s="403">
        <v>3295</v>
      </c>
      <c r="B114" s="409" t="s">
        <v>23</v>
      </c>
      <c r="C114" s="409">
        <v>29</v>
      </c>
      <c r="D114" s="405">
        <v>13</v>
      </c>
      <c r="E114" s="410" t="s">
        <v>60</v>
      </c>
      <c r="F114" s="411" t="s">
        <v>148</v>
      </c>
      <c r="G114" s="430">
        <v>43437</v>
      </c>
      <c r="H114" s="377"/>
      <c r="I114" s="383" t="s">
        <v>704</v>
      </c>
      <c r="J114" s="378">
        <v>1</v>
      </c>
      <c r="K114" s="378">
        <v>1.5</v>
      </c>
      <c r="L114" s="378">
        <f t="shared" si="4"/>
        <v>0</v>
      </c>
      <c r="M114" s="408">
        <f t="shared" si="5"/>
        <v>0</v>
      </c>
      <c r="N114" s="378">
        <v>1</v>
      </c>
      <c r="O114" s="431">
        <v>43440</v>
      </c>
      <c r="P114" s="379"/>
      <c r="Q114" s="380"/>
      <c r="R114" s="379"/>
      <c r="S114" s="379"/>
      <c r="T114" s="379"/>
      <c r="U114" s="379"/>
      <c r="V114" s="381"/>
      <c r="W114" s="379"/>
      <c r="X114" s="379"/>
      <c r="Y114" s="379"/>
      <c r="Z114" s="379"/>
      <c r="AA114" s="379"/>
      <c r="AB114" s="379"/>
      <c r="AC114" s="379"/>
      <c r="AD114" s="379"/>
      <c r="AE114" s="379"/>
      <c r="AF114" s="380"/>
      <c r="AG114" s="379"/>
      <c r="AH114" s="379"/>
      <c r="AI114" s="381"/>
      <c r="AJ114" s="379"/>
      <c r="AK114" s="379"/>
      <c r="AL114" s="379"/>
      <c r="AM114" s="379"/>
      <c r="AN114" s="380"/>
      <c r="AO114" s="379"/>
      <c r="AP114" s="379"/>
      <c r="AQ114" s="381"/>
      <c r="AR114" s="380"/>
      <c r="AS114" s="379"/>
      <c r="AT114" s="379"/>
      <c r="AU114" s="381"/>
      <c r="AV114" s="379"/>
      <c r="AW114" s="379"/>
      <c r="AX114" s="382"/>
    </row>
    <row r="115" spans="1:50" ht="17.399999999999999" customHeight="1">
      <c r="A115" s="403">
        <v>3296</v>
      </c>
      <c r="B115" s="409" t="s">
        <v>23</v>
      </c>
      <c r="C115" s="409">
        <v>30</v>
      </c>
      <c r="D115" s="405">
        <v>13</v>
      </c>
      <c r="E115" s="410" t="s">
        <v>637</v>
      </c>
      <c r="F115" s="411" t="s">
        <v>0</v>
      </c>
      <c r="G115" s="430">
        <v>43430</v>
      </c>
      <c r="H115" s="377">
        <v>43430</v>
      </c>
      <c r="I115" s="383"/>
      <c r="J115" s="378">
        <v>1</v>
      </c>
      <c r="K115" s="378">
        <v>1.5</v>
      </c>
      <c r="L115" s="378">
        <f t="shared" si="4"/>
        <v>30</v>
      </c>
      <c r="M115" s="408">
        <f t="shared" si="5"/>
        <v>0.81081081081081086</v>
      </c>
      <c r="N115" s="378">
        <v>4</v>
      </c>
      <c r="O115" s="431">
        <v>43430</v>
      </c>
      <c r="P115" s="379">
        <v>-2</v>
      </c>
      <c r="Q115" s="380">
        <v>1</v>
      </c>
      <c r="R115" s="379">
        <v>1</v>
      </c>
      <c r="S115" s="379">
        <v>1</v>
      </c>
      <c r="T115" s="379">
        <v>1</v>
      </c>
      <c r="U115" s="379">
        <v>1</v>
      </c>
      <c r="V115" s="381">
        <v>1</v>
      </c>
      <c r="W115" s="379">
        <v>1</v>
      </c>
      <c r="X115" s="379">
        <v>1</v>
      </c>
      <c r="Y115" s="379">
        <v>1</v>
      </c>
      <c r="Z115" s="379">
        <v>1</v>
      </c>
      <c r="AA115" s="379">
        <v>1</v>
      </c>
      <c r="AB115" s="379">
        <v>1</v>
      </c>
      <c r="AC115" s="443">
        <v>0</v>
      </c>
      <c r="AD115" s="379">
        <v>1</v>
      </c>
      <c r="AE115" s="379">
        <v>1</v>
      </c>
      <c r="AF115" s="380">
        <v>1</v>
      </c>
      <c r="AG115" s="379">
        <v>1</v>
      </c>
      <c r="AH115" s="379">
        <v>1</v>
      </c>
      <c r="AI115" s="381">
        <v>1</v>
      </c>
      <c r="AJ115" s="379">
        <v>1</v>
      </c>
      <c r="AK115" s="379">
        <v>1</v>
      </c>
      <c r="AL115" s="379">
        <v>1</v>
      </c>
      <c r="AM115" s="379">
        <v>0</v>
      </c>
      <c r="AN115" s="380">
        <v>1</v>
      </c>
      <c r="AO115" s="379">
        <v>1</v>
      </c>
      <c r="AP115" s="379">
        <v>1</v>
      </c>
      <c r="AQ115" s="381">
        <v>1</v>
      </c>
      <c r="AR115" s="444">
        <v>0</v>
      </c>
      <c r="AS115" s="379">
        <v>0</v>
      </c>
      <c r="AT115" s="379">
        <v>0</v>
      </c>
      <c r="AU115" s="381">
        <v>1</v>
      </c>
      <c r="AV115" s="379">
        <v>2</v>
      </c>
      <c r="AW115" s="379">
        <v>1</v>
      </c>
      <c r="AX115" s="382">
        <v>3</v>
      </c>
    </row>
    <row r="116" spans="1:50" ht="17.399999999999999" customHeight="1">
      <c r="A116" s="403">
        <v>3298</v>
      </c>
      <c r="B116" s="409" t="s">
        <v>23</v>
      </c>
      <c r="C116" s="409">
        <v>31</v>
      </c>
      <c r="D116" s="405">
        <v>8</v>
      </c>
      <c r="E116" s="410" t="s">
        <v>638</v>
      </c>
      <c r="F116" s="411" t="s">
        <v>639</v>
      </c>
      <c r="G116" s="430">
        <v>43409</v>
      </c>
      <c r="H116" s="377">
        <v>43409</v>
      </c>
      <c r="I116" s="383"/>
      <c r="J116" s="378">
        <v>1</v>
      </c>
      <c r="K116" s="378">
        <v>1.5</v>
      </c>
      <c r="L116" s="378">
        <f t="shared" si="4"/>
        <v>37</v>
      </c>
      <c r="M116" s="408">
        <f t="shared" si="5"/>
        <v>1</v>
      </c>
      <c r="N116" s="378">
        <v>6</v>
      </c>
      <c r="O116" s="431">
        <v>43411</v>
      </c>
      <c r="P116" s="393"/>
      <c r="Q116" s="392">
        <v>1</v>
      </c>
      <c r="R116" s="393">
        <v>1</v>
      </c>
      <c r="S116" s="393">
        <v>1</v>
      </c>
      <c r="T116" s="393">
        <v>1</v>
      </c>
      <c r="U116" s="393">
        <v>1</v>
      </c>
      <c r="V116" s="396">
        <v>1</v>
      </c>
      <c r="W116" s="393">
        <v>1</v>
      </c>
      <c r="X116" s="393">
        <v>1</v>
      </c>
      <c r="Y116" s="393">
        <v>1</v>
      </c>
      <c r="Z116" s="393">
        <v>1</v>
      </c>
      <c r="AA116" s="393">
        <v>1</v>
      </c>
      <c r="AB116" s="393">
        <v>1</v>
      </c>
      <c r="AC116" s="393">
        <v>1</v>
      </c>
      <c r="AD116" s="393">
        <v>1</v>
      </c>
      <c r="AE116" s="393">
        <v>1</v>
      </c>
      <c r="AF116" s="392">
        <v>1</v>
      </c>
      <c r="AG116" s="393">
        <v>1</v>
      </c>
      <c r="AH116" s="393">
        <v>1</v>
      </c>
      <c r="AI116" s="396">
        <v>1</v>
      </c>
      <c r="AJ116" s="393">
        <v>1</v>
      </c>
      <c r="AK116" s="393">
        <v>1</v>
      </c>
      <c r="AL116" s="393">
        <v>1</v>
      </c>
      <c r="AM116" s="393">
        <v>1</v>
      </c>
      <c r="AN116" s="392">
        <v>1</v>
      </c>
      <c r="AO116" s="393">
        <v>1</v>
      </c>
      <c r="AP116" s="393">
        <v>1</v>
      </c>
      <c r="AQ116" s="396">
        <v>1</v>
      </c>
      <c r="AR116" s="392">
        <v>1</v>
      </c>
      <c r="AS116" s="393">
        <v>1</v>
      </c>
      <c r="AT116" s="393">
        <v>1</v>
      </c>
      <c r="AU116" s="396">
        <v>1</v>
      </c>
      <c r="AV116" s="393">
        <v>2</v>
      </c>
      <c r="AW116" s="393">
        <v>1</v>
      </c>
      <c r="AX116" s="397">
        <v>3</v>
      </c>
    </row>
    <row r="117" spans="1:50" ht="17.399999999999999" customHeight="1" thickBot="1">
      <c r="A117" s="414">
        <v>3297</v>
      </c>
      <c r="B117" s="420" t="s">
        <v>23</v>
      </c>
      <c r="C117" s="420">
        <v>32</v>
      </c>
      <c r="D117" s="416">
        <v>8</v>
      </c>
      <c r="E117" s="423" t="s">
        <v>640</v>
      </c>
      <c r="F117" s="424" t="s">
        <v>68</v>
      </c>
      <c r="G117" s="432">
        <v>43402</v>
      </c>
      <c r="H117" s="388">
        <v>43402</v>
      </c>
      <c r="I117" s="389"/>
      <c r="J117" s="390">
        <v>1</v>
      </c>
      <c r="K117" s="390">
        <v>1.5</v>
      </c>
      <c r="L117" s="390">
        <f t="shared" si="4"/>
        <v>35</v>
      </c>
      <c r="M117" s="419">
        <f t="shared" si="5"/>
        <v>0.94594594594594594</v>
      </c>
      <c r="N117" s="390">
        <v>5</v>
      </c>
      <c r="O117" s="433">
        <v>43411</v>
      </c>
      <c r="P117" s="384"/>
      <c r="Q117" s="385">
        <v>1</v>
      </c>
      <c r="R117" s="384">
        <v>1</v>
      </c>
      <c r="S117" s="384">
        <v>1</v>
      </c>
      <c r="T117" s="384">
        <v>1</v>
      </c>
      <c r="U117" s="384">
        <v>1</v>
      </c>
      <c r="V117" s="386">
        <v>0</v>
      </c>
      <c r="W117" s="384">
        <v>1</v>
      </c>
      <c r="X117" s="384">
        <v>1</v>
      </c>
      <c r="Y117" s="384">
        <v>1</v>
      </c>
      <c r="Z117" s="384">
        <v>1</v>
      </c>
      <c r="AA117" s="384">
        <v>1</v>
      </c>
      <c r="AB117" s="384">
        <v>1</v>
      </c>
      <c r="AC117" s="384">
        <v>1</v>
      </c>
      <c r="AD117" s="384">
        <v>1</v>
      </c>
      <c r="AE117" s="384">
        <v>1</v>
      </c>
      <c r="AF117" s="385">
        <v>1</v>
      </c>
      <c r="AG117" s="384">
        <v>1</v>
      </c>
      <c r="AH117" s="384">
        <v>1</v>
      </c>
      <c r="AI117" s="386">
        <v>1</v>
      </c>
      <c r="AJ117" s="384">
        <v>1</v>
      </c>
      <c r="AK117" s="384">
        <v>1</v>
      </c>
      <c r="AL117" s="384">
        <v>1</v>
      </c>
      <c r="AM117" s="384">
        <v>1</v>
      </c>
      <c r="AN117" s="385">
        <v>1</v>
      </c>
      <c r="AO117" s="384">
        <v>1</v>
      </c>
      <c r="AP117" s="384">
        <v>1</v>
      </c>
      <c r="AQ117" s="386">
        <v>1</v>
      </c>
      <c r="AR117" s="385">
        <v>1</v>
      </c>
      <c r="AS117" s="384">
        <v>1</v>
      </c>
      <c r="AT117" s="384">
        <v>1</v>
      </c>
      <c r="AU117" s="386">
        <v>1</v>
      </c>
      <c r="AV117" s="384">
        <v>2</v>
      </c>
      <c r="AW117" s="384">
        <v>1</v>
      </c>
      <c r="AX117" s="387">
        <v>2</v>
      </c>
    </row>
    <row r="118" spans="1:50" ht="17.399999999999999" customHeight="1" thickTop="1">
      <c r="A118" s="398">
        <v>3299</v>
      </c>
      <c r="B118" s="399" t="s">
        <v>24</v>
      </c>
      <c r="C118" s="399">
        <v>1</v>
      </c>
      <c r="D118" s="400">
        <v>10</v>
      </c>
      <c r="E118" s="401" t="s">
        <v>112</v>
      </c>
      <c r="F118" s="402" t="s">
        <v>15</v>
      </c>
      <c r="G118" s="428">
        <v>43420</v>
      </c>
      <c r="H118" s="370">
        <v>43420</v>
      </c>
      <c r="I118" s="391"/>
      <c r="J118" s="371">
        <v>1</v>
      </c>
      <c r="K118" s="371">
        <v>1.5</v>
      </c>
      <c r="L118" s="371">
        <f t="shared" si="4"/>
        <v>19</v>
      </c>
      <c r="M118" s="372">
        <f t="shared" si="5"/>
        <v>0.51351351351351349</v>
      </c>
      <c r="N118" s="371" t="s">
        <v>35</v>
      </c>
      <c r="O118" s="429">
        <v>43420</v>
      </c>
      <c r="P118" s="425"/>
      <c r="Q118" s="440">
        <v>1</v>
      </c>
      <c r="R118" s="425">
        <v>1</v>
      </c>
      <c r="S118" s="425">
        <v>1</v>
      </c>
      <c r="T118" s="425">
        <v>1</v>
      </c>
      <c r="U118" s="425">
        <v>1</v>
      </c>
      <c r="V118" s="436">
        <v>0</v>
      </c>
      <c r="W118" s="425">
        <v>1</v>
      </c>
      <c r="X118" s="425">
        <v>1</v>
      </c>
      <c r="Y118" s="425">
        <v>0</v>
      </c>
      <c r="Z118" s="425">
        <v>0</v>
      </c>
      <c r="AA118" s="425">
        <v>0</v>
      </c>
      <c r="AB118" s="425">
        <v>1</v>
      </c>
      <c r="AC118" s="425">
        <v>0</v>
      </c>
      <c r="AD118" s="425">
        <v>0</v>
      </c>
      <c r="AE118" s="425">
        <v>1</v>
      </c>
      <c r="AF118" s="440">
        <v>0</v>
      </c>
      <c r="AG118" s="425">
        <v>0</v>
      </c>
      <c r="AH118" s="425">
        <v>0</v>
      </c>
      <c r="AI118" s="436">
        <v>0</v>
      </c>
      <c r="AJ118" s="425">
        <v>1</v>
      </c>
      <c r="AK118" s="425">
        <v>1</v>
      </c>
      <c r="AL118" s="425">
        <v>1</v>
      </c>
      <c r="AM118" s="425">
        <v>1</v>
      </c>
      <c r="AN118" s="440">
        <v>1</v>
      </c>
      <c r="AO118" s="425">
        <v>1</v>
      </c>
      <c r="AP118" s="425">
        <v>0</v>
      </c>
      <c r="AQ118" s="436">
        <v>0</v>
      </c>
      <c r="AR118" s="440">
        <v>1</v>
      </c>
      <c r="AS118" s="425">
        <v>1</v>
      </c>
      <c r="AT118" s="425">
        <v>1</v>
      </c>
      <c r="AU118" s="436">
        <v>1</v>
      </c>
      <c r="AV118" s="425">
        <v>0</v>
      </c>
      <c r="AW118" s="425">
        <v>0</v>
      </c>
      <c r="AX118" s="426">
        <v>0</v>
      </c>
    </row>
    <row r="119" spans="1:50" ht="17.399999999999999" customHeight="1">
      <c r="A119" s="403">
        <v>3300</v>
      </c>
      <c r="B119" s="409" t="s">
        <v>24</v>
      </c>
      <c r="C119" s="409">
        <v>2</v>
      </c>
      <c r="D119" s="405">
        <v>9</v>
      </c>
      <c r="E119" s="410" t="s">
        <v>641</v>
      </c>
      <c r="F119" s="411" t="s">
        <v>694</v>
      </c>
      <c r="G119" s="430">
        <v>43410</v>
      </c>
      <c r="H119" s="377">
        <v>43410</v>
      </c>
      <c r="I119" s="383"/>
      <c r="J119" s="378">
        <v>1</v>
      </c>
      <c r="K119" s="378">
        <v>1.5</v>
      </c>
      <c r="L119" s="378">
        <f t="shared" si="4"/>
        <v>29</v>
      </c>
      <c r="M119" s="408">
        <f t="shared" si="5"/>
        <v>0.78378378378378377</v>
      </c>
      <c r="N119" s="378">
        <v>4</v>
      </c>
      <c r="O119" s="431">
        <v>43411</v>
      </c>
      <c r="P119" s="379"/>
      <c r="Q119" s="380">
        <v>1</v>
      </c>
      <c r="R119" s="379">
        <v>1</v>
      </c>
      <c r="S119" s="379">
        <v>1</v>
      </c>
      <c r="T119" s="379">
        <v>1</v>
      </c>
      <c r="U119" s="379">
        <v>1</v>
      </c>
      <c r="V119" s="381">
        <v>1</v>
      </c>
      <c r="W119" s="379">
        <v>1</v>
      </c>
      <c r="X119" s="379">
        <v>1</v>
      </c>
      <c r="Y119" s="379">
        <v>1</v>
      </c>
      <c r="Z119" s="379">
        <v>0</v>
      </c>
      <c r="AA119" s="379">
        <v>1</v>
      </c>
      <c r="AB119" s="379">
        <v>1</v>
      </c>
      <c r="AC119" s="379">
        <v>0</v>
      </c>
      <c r="AD119" s="379">
        <v>1</v>
      </c>
      <c r="AE119" s="379">
        <v>0</v>
      </c>
      <c r="AF119" s="380">
        <v>1</v>
      </c>
      <c r="AG119" s="379">
        <v>1</v>
      </c>
      <c r="AH119" s="379">
        <v>1</v>
      </c>
      <c r="AI119" s="381">
        <v>1</v>
      </c>
      <c r="AJ119" s="379">
        <v>1</v>
      </c>
      <c r="AK119" s="379">
        <v>1</v>
      </c>
      <c r="AL119" s="379">
        <v>1</v>
      </c>
      <c r="AM119" s="379">
        <v>1</v>
      </c>
      <c r="AN119" s="380">
        <v>1</v>
      </c>
      <c r="AO119" s="379">
        <v>1</v>
      </c>
      <c r="AP119" s="379">
        <v>1</v>
      </c>
      <c r="AQ119" s="381">
        <v>0</v>
      </c>
      <c r="AR119" s="380">
        <v>1</v>
      </c>
      <c r="AS119" s="379">
        <v>1</v>
      </c>
      <c r="AT119" s="379">
        <v>1</v>
      </c>
      <c r="AU119" s="381">
        <v>1</v>
      </c>
      <c r="AV119" s="379">
        <v>2</v>
      </c>
      <c r="AW119" s="379">
        <v>0</v>
      </c>
      <c r="AX119" s="382">
        <v>0</v>
      </c>
    </row>
    <row r="120" spans="1:50" ht="17.399999999999999" customHeight="1">
      <c r="A120" s="403">
        <v>3301</v>
      </c>
      <c r="B120" s="409" t="s">
        <v>24</v>
      </c>
      <c r="C120" s="409">
        <v>3</v>
      </c>
      <c r="D120" s="405">
        <v>9</v>
      </c>
      <c r="E120" s="412" t="s">
        <v>642</v>
      </c>
      <c r="F120" s="413" t="s">
        <v>128</v>
      </c>
      <c r="G120" s="430">
        <v>43410</v>
      </c>
      <c r="H120" s="377">
        <v>43410</v>
      </c>
      <c r="I120" s="383"/>
      <c r="J120" s="378">
        <v>1</v>
      </c>
      <c r="K120" s="378">
        <v>1.5</v>
      </c>
      <c r="L120" s="378">
        <f t="shared" si="4"/>
        <v>24</v>
      </c>
      <c r="M120" s="408">
        <f t="shared" si="5"/>
        <v>0.64864864864864868</v>
      </c>
      <c r="N120" s="378">
        <v>3</v>
      </c>
      <c r="O120" s="431">
        <v>43411</v>
      </c>
      <c r="P120" s="393"/>
      <c r="Q120" s="392">
        <v>1</v>
      </c>
      <c r="R120" s="393">
        <v>1</v>
      </c>
      <c r="S120" s="393">
        <v>1</v>
      </c>
      <c r="T120" s="393">
        <v>1</v>
      </c>
      <c r="U120" s="393">
        <v>1</v>
      </c>
      <c r="V120" s="396">
        <v>0</v>
      </c>
      <c r="W120" s="393">
        <v>1</v>
      </c>
      <c r="X120" s="393">
        <v>1</v>
      </c>
      <c r="Y120" s="393">
        <v>0</v>
      </c>
      <c r="Z120" s="393">
        <v>1</v>
      </c>
      <c r="AA120" s="393">
        <v>1</v>
      </c>
      <c r="AB120" s="393">
        <v>1</v>
      </c>
      <c r="AC120" s="393">
        <v>1</v>
      </c>
      <c r="AD120" s="393">
        <v>0</v>
      </c>
      <c r="AE120" s="393">
        <v>0</v>
      </c>
      <c r="AF120" s="392">
        <v>1</v>
      </c>
      <c r="AG120" s="393">
        <v>1</v>
      </c>
      <c r="AH120" s="393">
        <v>0</v>
      </c>
      <c r="AI120" s="396">
        <v>1</v>
      </c>
      <c r="AJ120" s="393">
        <v>1</v>
      </c>
      <c r="AK120" s="393">
        <v>1</v>
      </c>
      <c r="AL120" s="393">
        <v>1</v>
      </c>
      <c r="AM120" s="393">
        <v>1</v>
      </c>
      <c r="AN120" s="392">
        <v>1</v>
      </c>
      <c r="AO120" s="393">
        <v>1</v>
      </c>
      <c r="AP120" s="393">
        <v>1</v>
      </c>
      <c r="AQ120" s="396">
        <v>1</v>
      </c>
      <c r="AR120" s="392">
        <v>0</v>
      </c>
      <c r="AS120" s="393">
        <v>1</v>
      </c>
      <c r="AT120" s="393">
        <v>1</v>
      </c>
      <c r="AU120" s="396">
        <v>0</v>
      </c>
      <c r="AV120" s="393">
        <v>0</v>
      </c>
      <c r="AW120" s="393">
        <v>0</v>
      </c>
      <c r="AX120" s="397">
        <v>0</v>
      </c>
    </row>
    <row r="121" spans="1:50" ht="17.399999999999999" customHeight="1">
      <c r="A121" s="403">
        <v>3302</v>
      </c>
      <c r="B121" s="409" t="s">
        <v>24</v>
      </c>
      <c r="C121" s="409">
        <v>4</v>
      </c>
      <c r="D121" s="405">
        <v>10</v>
      </c>
      <c r="E121" s="410" t="s">
        <v>643</v>
      </c>
      <c r="F121" s="411" t="s">
        <v>14</v>
      </c>
      <c r="G121" s="430">
        <v>43420</v>
      </c>
      <c r="H121" s="377">
        <v>43420</v>
      </c>
      <c r="I121" s="383"/>
      <c r="J121" s="378">
        <v>1</v>
      </c>
      <c r="K121" s="378">
        <v>1.5</v>
      </c>
      <c r="L121" s="378">
        <f t="shared" si="4"/>
        <v>17</v>
      </c>
      <c r="M121" s="408">
        <f t="shared" si="5"/>
        <v>0.45945945945945948</v>
      </c>
      <c r="N121" s="378" t="s">
        <v>35</v>
      </c>
      <c r="O121" s="431">
        <v>43420</v>
      </c>
      <c r="P121" s="379"/>
      <c r="Q121" s="380">
        <v>1</v>
      </c>
      <c r="R121" s="379">
        <v>0</v>
      </c>
      <c r="S121" s="379">
        <v>0</v>
      </c>
      <c r="T121" s="379">
        <v>0</v>
      </c>
      <c r="U121" s="379">
        <v>0</v>
      </c>
      <c r="V121" s="381">
        <v>0</v>
      </c>
      <c r="W121" s="379">
        <v>1</v>
      </c>
      <c r="X121" s="379">
        <v>1</v>
      </c>
      <c r="Y121" s="379">
        <v>1</v>
      </c>
      <c r="Z121" s="379">
        <v>0</v>
      </c>
      <c r="AA121" s="379">
        <v>1</v>
      </c>
      <c r="AB121" s="379">
        <v>1</v>
      </c>
      <c r="AC121" s="379">
        <v>0</v>
      </c>
      <c r="AD121" s="379">
        <v>1</v>
      </c>
      <c r="AE121" s="379">
        <v>1</v>
      </c>
      <c r="AF121" s="380">
        <v>0</v>
      </c>
      <c r="AG121" s="379">
        <v>0</v>
      </c>
      <c r="AH121" s="379">
        <v>0</v>
      </c>
      <c r="AI121" s="381">
        <v>0</v>
      </c>
      <c r="AJ121" s="379">
        <v>1</v>
      </c>
      <c r="AK121" s="379">
        <v>1</v>
      </c>
      <c r="AL121" s="379">
        <v>1</v>
      </c>
      <c r="AM121" s="379">
        <v>1</v>
      </c>
      <c r="AN121" s="380">
        <v>1</v>
      </c>
      <c r="AO121" s="379">
        <v>1</v>
      </c>
      <c r="AP121" s="379">
        <v>1</v>
      </c>
      <c r="AQ121" s="381">
        <v>1</v>
      </c>
      <c r="AR121" s="380">
        <v>0</v>
      </c>
      <c r="AS121" s="379">
        <v>1</v>
      </c>
      <c r="AT121" s="379">
        <v>0</v>
      </c>
      <c r="AU121" s="381">
        <v>0</v>
      </c>
      <c r="AV121" s="379">
        <v>0</v>
      </c>
      <c r="AW121" s="379">
        <v>0</v>
      </c>
      <c r="AX121" s="382">
        <v>0</v>
      </c>
    </row>
    <row r="122" spans="1:50" ht="17.399999999999999" customHeight="1">
      <c r="A122" s="403">
        <v>3324</v>
      </c>
      <c r="B122" s="409" t="s">
        <v>24</v>
      </c>
      <c r="C122" s="409">
        <v>5</v>
      </c>
      <c r="D122" s="405">
        <v>10</v>
      </c>
      <c r="E122" s="410" t="s">
        <v>644</v>
      </c>
      <c r="F122" s="411" t="s">
        <v>19</v>
      </c>
      <c r="G122" s="430">
        <v>43427</v>
      </c>
      <c r="H122" s="377">
        <v>43434</v>
      </c>
      <c r="I122" s="383"/>
      <c r="J122" s="378">
        <v>1</v>
      </c>
      <c r="K122" s="378">
        <v>1.5</v>
      </c>
      <c r="L122" s="378">
        <f t="shared" si="4"/>
        <v>34</v>
      </c>
      <c r="M122" s="408">
        <f t="shared" si="5"/>
        <v>0.91891891891891897</v>
      </c>
      <c r="N122" s="378">
        <v>5</v>
      </c>
      <c r="O122" s="431">
        <v>43437</v>
      </c>
      <c r="P122" s="379"/>
      <c r="Q122" s="380">
        <v>1</v>
      </c>
      <c r="R122" s="379">
        <v>1</v>
      </c>
      <c r="S122" s="379">
        <v>0</v>
      </c>
      <c r="T122" s="379">
        <v>1</v>
      </c>
      <c r="U122" s="379">
        <v>1</v>
      </c>
      <c r="V122" s="381">
        <v>0</v>
      </c>
      <c r="W122" s="379">
        <v>1</v>
      </c>
      <c r="X122" s="379">
        <v>1</v>
      </c>
      <c r="Y122" s="379">
        <v>1</v>
      </c>
      <c r="Z122" s="379">
        <v>1</v>
      </c>
      <c r="AA122" s="379">
        <v>1</v>
      </c>
      <c r="AB122" s="379">
        <v>1</v>
      </c>
      <c r="AC122" s="379">
        <v>1</v>
      </c>
      <c r="AD122" s="379">
        <v>1</v>
      </c>
      <c r="AE122" s="379">
        <v>1</v>
      </c>
      <c r="AF122" s="380">
        <v>1</v>
      </c>
      <c r="AG122" s="379">
        <v>1</v>
      </c>
      <c r="AH122" s="379">
        <v>1</v>
      </c>
      <c r="AI122" s="381">
        <v>1</v>
      </c>
      <c r="AJ122" s="379">
        <v>1</v>
      </c>
      <c r="AK122" s="379">
        <v>1</v>
      </c>
      <c r="AL122" s="379">
        <v>1</v>
      </c>
      <c r="AM122" s="379">
        <v>1</v>
      </c>
      <c r="AN122" s="380">
        <v>1</v>
      </c>
      <c r="AO122" s="379">
        <v>1</v>
      </c>
      <c r="AP122" s="379">
        <v>1</v>
      </c>
      <c r="AQ122" s="381">
        <v>1</v>
      </c>
      <c r="AR122" s="380">
        <v>1</v>
      </c>
      <c r="AS122" s="379">
        <v>1</v>
      </c>
      <c r="AT122" s="379">
        <v>0</v>
      </c>
      <c r="AU122" s="381">
        <v>1</v>
      </c>
      <c r="AV122" s="379">
        <v>2</v>
      </c>
      <c r="AW122" s="379">
        <v>1</v>
      </c>
      <c r="AX122" s="382">
        <v>3</v>
      </c>
    </row>
    <row r="123" spans="1:50" ht="17.399999999999999" customHeight="1">
      <c r="A123" s="403">
        <v>3303</v>
      </c>
      <c r="B123" s="409" t="s">
        <v>24</v>
      </c>
      <c r="C123" s="409">
        <v>6</v>
      </c>
      <c r="D123" s="405">
        <v>10</v>
      </c>
      <c r="E123" s="410" t="s">
        <v>645</v>
      </c>
      <c r="F123" s="411" t="s">
        <v>12</v>
      </c>
      <c r="G123" s="430">
        <v>43420</v>
      </c>
      <c r="H123" s="377">
        <v>43420</v>
      </c>
      <c r="I123" s="383"/>
      <c r="J123" s="378">
        <v>1</v>
      </c>
      <c r="K123" s="378">
        <v>1.5</v>
      </c>
      <c r="L123" s="378">
        <f t="shared" si="4"/>
        <v>31</v>
      </c>
      <c r="M123" s="408">
        <f t="shared" si="5"/>
        <v>0.83783783783783783</v>
      </c>
      <c r="N123" s="378" t="s">
        <v>34</v>
      </c>
      <c r="O123" s="431">
        <v>43420</v>
      </c>
      <c r="P123" s="379"/>
      <c r="Q123" s="380">
        <v>1</v>
      </c>
      <c r="R123" s="379">
        <v>1</v>
      </c>
      <c r="S123" s="379">
        <v>0</v>
      </c>
      <c r="T123" s="379">
        <v>1</v>
      </c>
      <c r="U123" s="379">
        <v>1</v>
      </c>
      <c r="V123" s="381">
        <v>1</v>
      </c>
      <c r="W123" s="379">
        <v>1</v>
      </c>
      <c r="X123" s="379">
        <v>1</v>
      </c>
      <c r="Y123" s="379">
        <v>1</v>
      </c>
      <c r="Z123" s="379">
        <v>0</v>
      </c>
      <c r="AA123" s="379">
        <v>0</v>
      </c>
      <c r="AB123" s="379">
        <v>1</v>
      </c>
      <c r="AC123" s="379">
        <v>1</v>
      </c>
      <c r="AD123" s="379">
        <v>1</v>
      </c>
      <c r="AE123" s="379">
        <v>1</v>
      </c>
      <c r="AF123" s="380">
        <v>1</v>
      </c>
      <c r="AG123" s="379">
        <v>1</v>
      </c>
      <c r="AH123" s="379">
        <v>1</v>
      </c>
      <c r="AI123" s="381">
        <v>1</v>
      </c>
      <c r="AJ123" s="379">
        <v>1</v>
      </c>
      <c r="AK123" s="379">
        <v>1</v>
      </c>
      <c r="AL123" s="379">
        <v>1</v>
      </c>
      <c r="AM123" s="379">
        <v>1</v>
      </c>
      <c r="AN123" s="380">
        <v>1</v>
      </c>
      <c r="AO123" s="379">
        <v>1</v>
      </c>
      <c r="AP123" s="379">
        <v>1</v>
      </c>
      <c r="AQ123" s="381">
        <v>1</v>
      </c>
      <c r="AR123" s="380">
        <v>1</v>
      </c>
      <c r="AS123" s="379">
        <v>1</v>
      </c>
      <c r="AT123" s="379">
        <v>1</v>
      </c>
      <c r="AU123" s="381">
        <v>1</v>
      </c>
      <c r="AV123" s="379">
        <v>0</v>
      </c>
      <c r="AW123" s="379">
        <v>0</v>
      </c>
      <c r="AX123" s="382">
        <v>3</v>
      </c>
    </row>
    <row r="124" spans="1:50" ht="17.399999999999999" customHeight="1">
      <c r="A124" s="403">
        <v>3304</v>
      </c>
      <c r="B124" s="409" t="s">
        <v>24</v>
      </c>
      <c r="C124" s="409">
        <v>7</v>
      </c>
      <c r="D124" s="405">
        <v>10</v>
      </c>
      <c r="E124" s="410" t="s">
        <v>426</v>
      </c>
      <c r="F124" s="411" t="s">
        <v>15</v>
      </c>
      <c r="G124" s="430">
        <v>43420</v>
      </c>
      <c r="H124" s="377">
        <v>43420</v>
      </c>
      <c r="I124" s="383"/>
      <c r="J124" s="378">
        <v>1</v>
      </c>
      <c r="K124" s="378">
        <v>1.5</v>
      </c>
      <c r="L124" s="378">
        <f t="shared" si="4"/>
        <v>33</v>
      </c>
      <c r="M124" s="408">
        <f t="shared" si="5"/>
        <v>0.89189189189189189</v>
      </c>
      <c r="N124" s="378">
        <v>5</v>
      </c>
      <c r="O124" s="431">
        <v>43420</v>
      </c>
      <c r="P124" s="379"/>
      <c r="Q124" s="380">
        <v>1</v>
      </c>
      <c r="R124" s="379">
        <v>1</v>
      </c>
      <c r="S124" s="379">
        <v>1</v>
      </c>
      <c r="T124" s="379">
        <v>1</v>
      </c>
      <c r="U124" s="379">
        <v>1</v>
      </c>
      <c r="V124" s="381">
        <v>1</v>
      </c>
      <c r="W124" s="379">
        <v>1</v>
      </c>
      <c r="X124" s="379">
        <v>1</v>
      </c>
      <c r="Y124" s="379">
        <v>1</v>
      </c>
      <c r="Z124" s="379">
        <v>0</v>
      </c>
      <c r="AA124" s="379">
        <v>1</v>
      </c>
      <c r="AB124" s="379">
        <v>0</v>
      </c>
      <c r="AC124" s="379">
        <v>1</v>
      </c>
      <c r="AD124" s="379">
        <v>1</v>
      </c>
      <c r="AE124" s="379">
        <v>1</v>
      </c>
      <c r="AF124" s="380">
        <v>1</v>
      </c>
      <c r="AG124" s="379">
        <v>1</v>
      </c>
      <c r="AH124" s="379">
        <v>1</v>
      </c>
      <c r="AI124" s="381">
        <v>1</v>
      </c>
      <c r="AJ124" s="379">
        <v>1</v>
      </c>
      <c r="AK124" s="379">
        <v>1</v>
      </c>
      <c r="AL124" s="379">
        <v>1</v>
      </c>
      <c r="AM124" s="379">
        <v>1</v>
      </c>
      <c r="AN124" s="380">
        <v>1</v>
      </c>
      <c r="AO124" s="379">
        <v>1</v>
      </c>
      <c r="AP124" s="379">
        <v>1</v>
      </c>
      <c r="AQ124" s="381">
        <v>1</v>
      </c>
      <c r="AR124" s="380">
        <v>0</v>
      </c>
      <c r="AS124" s="379">
        <v>1</v>
      </c>
      <c r="AT124" s="379">
        <v>1</v>
      </c>
      <c r="AU124" s="381">
        <v>1</v>
      </c>
      <c r="AV124" s="379">
        <v>2</v>
      </c>
      <c r="AW124" s="379">
        <v>0</v>
      </c>
      <c r="AX124" s="382">
        <v>3</v>
      </c>
    </row>
    <row r="125" spans="1:50" ht="17.399999999999999" customHeight="1">
      <c r="A125" s="403">
        <v>3305</v>
      </c>
      <c r="B125" s="409" t="s">
        <v>24</v>
      </c>
      <c r="C125" s="409">
        <v>8</v>
      </c>
      <c r="D125" s="405">
        <v>9</v>
      </c>
      <c r="E125" s="410" t="s">
        <v>646</v>
      </c>
      <c r="F125" s="411" t="s">
        <v>685</v>
      </c>
      <c r="G125" s="430">
        <v>43418</v>
      </c>
      <c r="H125" s="377">
        <v>43418</v>
      </c>
      <c r="I125" s="383"/>
      <c r="J125" s="378">
        <v>1</v>
      </c>
      <c r="K125" s="378">
        <v>1.5</v>
      </c>
      <c r="L125" s="378">
        <f t="shared" si="4"/>
        <v>26</v>
      </c>
      <c r="M125" s="408">
        <f t="shared" si="5"/>
        <v>0.70270270270270274</v>
      </c>
      <c r="N125" s="378" t="s">
        <v>32</v>
      </c>
      <c r="O125" s="431">
        <v>43418</v>
      </c>
      <c r="P125" s="379"/>
      <c r="Q125" s="380">
        <v>1</v>
      </c>
      <c r="R125" s="379">
        <v>1</v>
      </c>
      <c r="S125" s="379">
        <v>0</v>
      </c>
      <c r="T125" s="379">
        <v>1</v>
      </c>
      <c r="U125" s="379">
        <v>1</v>
      </c>
      <c r="V125" s="381">
        <v>0</v>
      </c>
      <c r="W125" s="379">
        <v>1</v>
      </c>
      <c r="X125" s="379">
        <v>1</v>
      </c>
      <c r="Y125" s="379">
        <v>1</v>
      </c>
      <c r="Z125" s="379">
        <v>1</v>
      </c>
      <c r="AA125" s="379">
        <v>1</v>
      </c>
      <c r="AB125" s="379">
        <v>1</v>
      </c>
      <c r="AC125" s="379">
        <v>0</v>
      </c>
      <c r="AD125" s="379">
        <v>1</v>
      </c>
      <c r="AE125" s="379">
        <v>1</v>
      </c>
      <c r="AF125" s="380">
        <v>1</v>
      </c>
      <c r="AG125" s="379">
        <v>1</v>
      </c>
      <c r="AH125" s="379">
        <v>1</v>
      </c>
      <c r="AI125" s="381">
        <v>1</v>
      </c>
      <c r="AJ125" s="379">
        <v>1</v>
      </c>
      <c r="AK125" s="379">
        <v>1</v>
      </c>
      <c r="AL125" s="379">
        <v>1</v>
      </c>
      <c r="AM125" s="379">
        <v>1</v>
      </c>
      <c r="AN125" s="380">
        <v>1</v>
      </c>
      <c r="AO125" s="379">
        <v>1</v>
      </c>
      <c r="AP125" s="379">
        <v>1</v>
      </c>
      <c r="AQ125" s="381">
        <v>1</v>
      </c>
      <c r="AR125" s="380">
        <v>1</v>
      </c>
      <c r="AS125" s="379">
        <v>1</v>
      </c>
      <c r="AT125" s="379">
        <v>0</v>
      </c>
      <c r="AU125" s="381">
        <v>0</v>
      </c>
      <c r="AV125" s="379">
        <v>0</v>
      </c>
      <c r="AW125" s="379">
        <v>0</v>
      </c>
      <c r="AX125" s="382">
        <v>0</v>
      </c>
    </row>
    <row r="126" spans="1:50" ht="17.399999999999999" customHeight="1">
      <c r="A126" s="403">
        <v>3306</v>
      </c>
      <c r="B126" s="409" t="s">
        <v>24</v>
      </c>
      <c r="C126" s="409">
        <v>9</v>
      </c>
      <c r="D126" s="405">
        <v>10</v>
      </c>
      <c r="E126" s="410" t="s">
        <v>622</v>
      </c>
      <c r="F126" s="411" t="s">
        <v>385</v>
      </c>
      <c r="G126" s="430">
        <v>43420</v>
      </c>
      <c r="H126" s="377">
        <v>43420</v>
      </c>
      <c r="I126" s="383"/>
      <c r="J126" s="378">
        <v>1</v>
      </c>
      <c r="K126" s="378">
        <v>1.5</v>
      </c>
      <c r="L126" s="378">
        <f t="shared" si="4"/>
        <v>17</v>
      </c>
      <c r="M126" s="408">
        <f t="shared" si="5"/>
        <v>0.45945945945945948</v>
      </c>
      <c r="N126" s="378" t="s">
        <v>35</v>
      </c>
      <c r="O126" s="431">
        <v>43420</v>
      </c>
      <c r="P126" s="379"/>
      <c r="Q126" s="380">
        <v>1</v>
      </c>
      <c r="R126" s="379">
        <v>1</v>
      </c>
      <c r="S126" s="379">
        <v>1</v>
      </c>
      <c r="T126" s="379">
        <v>1</v>
      </c>
      <c r="U126" s="379">
        <v>1</v>
      </c>
      <c r="V126" s="381">
        <v>0</v>
      </c>
      <c r="W126" s="379">
        <v>1</v>
      </c>
      <c r="X126" s="379">
        <v>1</v>
      </c>
      <c r="Y126" s="379">
        <v>0</v>
      </c>
      <c r="Z126" s="379">
        <v>0</v>
      </c>
      <c r="AA126" s="379">
        <v>0</v>
      </c>
      <c r="AB126" s="379">
        <v>1</v>
      </c>
      <c r="AC126" s="379">
        <v>0</v>
      </c>
      <c r="AD126" s="379">
        <v>0</v>
      </c>
      <c r="AE126" s="379">
        <v>0</v>
      </c>
      <c r="AF126" s="380">
        <v>0</v>
      </c>
      <c r="AG126" s="379">
        <v>0</v>
      </c>
      <c r="AH126" s="379">
        <v>0</v>
      </c>
      <c r="AI126" s="381">
        <v>0</v>
      </c>
      <c r="AJ126" s="379">
        <v>1</v>
      </c>
      <c r="AK126" s="379">
        <v>1</v>
      </c>
      <c r="AL126" s="379">
        <v>1</v>
      </c>
      <c r="AM126" s="379">
        <v>1</v>
      </c>
      <c r="AN126" s="380">
        <v>1</v>
      </c>
      <c r="AO126" s="379">
        <v>1</v>
      </c>
      <c r="AP126" s="379">
        <v>1</v>
      </c>
      <c r="AQ126" s="381">
        <v>0</v>
      </c>
      <c r="AR126" s="380">
        <v>1</v>
      </c>
      <c r="AS126" s="379">
        <v>0</v>
      </c>
      <c r="AT126" s="379">
        <v>1</v>
      </c>
      <c r="AU126" s="381">
        <v>0</v>
      </c>
      <c r="AV126" s="379">
        <v>0</v>
      </c>
      <c r="AW126" s="379">
        <v>0</v>
      </c>
      <c r="AX126" s="382">
        <v>0</v>
      </c>
    </row>
    <row r="127" spans="1:50" ht="17.399999999999999" customHeight="1">
      <c r="A127" s="403">
        <v>3307</v>
      </c>
      <c r="B127" s="409" t="s">
        <v>24</v>
      </c>
      <c r="C127" s="409">
        <v>10</v>
      </c>
      <c r="D127" s="405">
        <v>10</v>
      </c>
      <c r="E127" s="410" t="s">
        <v>647</v>
      </c>
      <c r="F127" s="411" t="s">
        <v>188</v>
      </c>
      <c r="G127" s="430">
        <v>43420</v>
      </c>
      <c r="H127" s="377">
        <v>43420</v>
      </c>
      <c r="I127" s="383"/>
      <c r="J127" s="378">
        <v>1</v>
      </c>
      <c r="K127" s="378">
        <v>1.5</v>
      </c>
      <c r="L127" s="378">
        <f t="shared" si="4"/>
        <v>17</v>
      </c>
      <c r="M127" s="408">
        <f t="shared" si="5"/>
        <v>0.45945945945945948</v>
      </c>
      <c r="N127" s="378" t="s">
        <v>35</v>
      </c>
      <c r="O127" s="431">
        <v>43420</v>
      </c>
      <c r="P127" s="393"/>
      <c r="Q127" s="392">
        <v>1</v>
      </c>
      <c r="R127" s="393">
        <v>1</v>
      </c>
      <c r="S127" s="393">
        <v>1</v>
      </c>
      <c r="T127" s="393">
        <v>1</v>
      </c>
      <c r="U127" s="393">
        <v>1</v>
      </c>
      <c r="V127" s="396">
        <v>0</v>
      </c>
      <c r="W127" s="393">
        <v>0</v>
      </c>
      <c r="X127" s="393">
        <v>0</v>
      </c>
      <c r="Y127" s="393">
        <v>0</v>
      </c>
      <c r="Z127" s="393">
        <v>0</v>
      </c>
      <c r="AA127" s="393">
        <v>0</v>
      </c>
      <c r="AB127" s="393">
        <v>1</v>
      </c>
      <c r="AC127" s="393">
        <v>1</v>
      </c>
      <c r="AD127" s="393">
        <v>1</v>
      </c>
      <c r="AE127" s="393">
        <v>1</v>
      </c>
      <c r="AF127" s="392">
        <v>0</v>
      </c>
      <c r="AG127" s="393">
        <v>0</v>
      </c>
      <c r="AH127" s="393">
        <v>0</v>
      </c>
      <c r="AI127" s="396">
        <v>0</v>
      </c>
      <c r="AJ127" s="393">
        <v>1</v>
      </c>
      <c r="AK127" s="393">
        <v>1</v>
      </c>
      <c r="AL127" s="393">
        <v>1</v>
      </c>
      <c r="AM127" s="393">
        <v>0</v>
      </c>
      <c r="AN127" s="392">
        <v>1</v>
      </c>
      <c r="AO127" s="393">
        <v>1</v>
      </c>
      <c r="AP127" s="393">
        <v>0</v>
      </c>
      <c r="AQ127" s="396">
        <v>0</v>
      </c>
      <c r="AR127" s="392">
        <v>1</v>
      </c>
      <c r="AS127" s="393">
        <v>1</v>
      </c>
      <c r="AT127" s="393">
        <v>0</v>
      </c>
      <c r="AU127" s="396">
        <v>1</v>
      </c>
      <c r="AV127" s="393">
        <v>0</v>
      </c>
      <c r="AW127" s="393">
        <v>0</v>
      </c>
      <c r="AX127" s="397">
        <v>0</v>
      </c>
    </row>
    <row r="128" spans="1:50" ht="17.399999999999999" customHeight="1">
      <c r="A128" s="403">
        <v>3308</v>
      </c>
      <c r="B128" s="409" t="s">
        <v>24</v>
      </c>
      <c r="C128" s="409">
        <v>11</v>
      </c>
      <c r="D128" s="405">
        <v>9</v>
      </c>
      <c r="E128" s="410" t="s">
        <v>648</v>
      </c>
      <c r="F128" s="411" t="s">
        <v>12</v>
      </c>
      <c r="G128" s="430">
        <v>43423</v>
      </c>
      <c r="H128" s="377">
        <v>43425</v>
      </c>
      <c r="I128" s="383"/>
      <c r="J128" s="378">
        <v>1</v>
      </c>
      <c r="K128" s="378">
        <v>1.5</v>
      </c>
      <c r="L128" s="378">
        <f t="shared" si="4"/>
        <v>27</v>
      </c>
      <c r="M128" s="408">
        <f t="shared" si="5"/>
        <v>0.72972972972972971</v>
      </c>
      <c r="N128" s="378" t="s">
        <v>30</v>
      </c>
      <c r="O128" s="431">
        <v>43426</v>
      </c>
      <c r="P128" s="379"/>
      <c r="Q128" s="380">
        <v>1</v>
      </c>
      <c r="R128" s="379">
        <v>1</v>
      </c>
      <c r="S128" s="379">
        <v>1</v>
      </c>
      <c r="T128" s="379">
        <v>1</v>
      </c>
      <c r="U128" s="379">
        <v>1</v>
      </c>
      <c r="V128" s="381">
        <v>0</v>
      </c>
      <c r="W128" s="379">
        <v>1</v>
      </c>
      <c r="X128" s="379">
        <v>1</v>
      </c>
      <c r="Y128" s="379">
        <v>0</v>
      </c>
      <c r="Z128" s="379">
        <v>1</v>
      </c>
      <c r="AA128" s="379">
        <v>1</v>
      </c>
      <c r="AB128" s="379">
        <v>0</v>
      </c>
      <c r="AC128" s="379">
        <v>0</v>
      </c>
      <c r="AD128" s="379">
        <v>1</v>
      </c>
      <c r="AE128" s="379">
        <v>1</v>
      </c>
      <c r="AF128" s="380">
        <v>0</v>
      </c>
      <c r="AG128" s="379">
        <v>0</v>
      </c>
      <c r="AH128" s="379">
        <v>0</v>
      </c>
      <c r="AI128" s="381">
        <v>1</v>
      </c>
      <c r="AJ128" s="379">
        <v>1</v>
      </c>
      <c r="AK128" s="379">
        <v>1</v>
      </c>
      <c r="AL128" s="379">
        <v>1</v>
      </c>
      <c r="AM128" s="379">
        <v>1</v>
      </c>
      <c r="AN128" s="380">
        <v>1</v>
      </c>
      <c r="AO128" s="379">
        <v>1</v>
      </c>
      <c r="AP128" s="379">
        <v>1</v>
      </c>
      <c r="AQ128" s="381">
        <v>1</v>
      </c>
      <c r="AR128" s="380">
        <v>1</v>
      </c>
      <c r="AS128" s="379">
        <v>1</v>
      </c>
      <c r="AT128" s="379">
        <v>1</v>
      </c>
      <c r="AU128" s="381">
        <v>1</v>
      </c>
      <c r="AV128" s="379">
        <v>2</v>
      </c>
      <c r="AW128" s="379">
        <v>0</v>
      </c>
      <c r="AX128" s="382">
        <v>1</v>
      </c>
    </row>
    <row r="129" spans="1:50" ht="17.399999999999999" customHeight="1">
      <c r="A129" s="403">
        <v>3309</v>
      </c>
      <c r="B129" s="409" t="s">
        <v>24</v>
      </c>
      <c r="C129" s="409">
        <v>12</v>
      </c>
      <c r="D129" s="405">
        <v>9</v>
      </c>
      <c r="E129" s="410" t="s">
        <v>649</v>
      </c>
      <c r="F129" s="411" t="s">
        <v>347</v>
      </c>
      <c r="G129" s="430">
        <v>43410</v>
      </c>
      <c r="H129" s="377">
        <v>43410</v>
      </c>
      <c r="I129" s="393"/>
      <c r="J129" s="378">
        <v>1</v>
      </c>
      <c r="K129" s="378">
        <v>1.5</v>
      </c>
      <c r="L129" s="378">
        <f t="shared" si="4"/>
        <v>18</v>
      </c>
      <c r="M129" s="408">
        <f t="shared" si="5"/>
        <v>0.48648648648648651</v>
      </c>
      <c r="N129" s="378" t="s">
        <v>35</v>
      </c>
      <c r="O129" s="431">
        <v>43411</v>
      </c>
      <c r="P129" s="393">
        <v>-1</v>
      </c>
      <c r="Q129" s="392">
        <v>1</v>
      </c>
      <c r="R129" s="393">
        <v>1</v>
      </c>
      <c r="S129" s="393">
        <v>1</v>
      </c>
      <c r="T129" s="393">
        <v>1</v>
      </c>
      <c r="U129" s="393">
        <v>1</v>
      </c>
      <c r="V129" s="396">
        <v>1</v>
      </c>
      <c r="W129" s="393">
        <v>1</v>
      </c>
      <c r="X129" s="393">
        <v>1</v>
      </c>
      <c r="Y129" s="393">
        <v>1</v>
      </c>
      <c r="Z129" s="393">
        <v>0</v>
      </c>
      <c r="AA129" s="393">
        <v>0</v>
      </c>
      <c r="AB129" s="393">
        <v>1</v>
      </c>
      <c r="AC129" s="393">
        <v>0</v>
      </c>
      <c r="AD129" s="393">
        <v>1</v>
      </c>
      <c r="AE129" s="393">
        <v>0</v>
      </c>
      <c r="AF129" s="392">
        <v>0</v>
      </c>
      <c r="AG129" s="393">
        <v>0</v>
      </c>
      <c r="AH129" s="393">
        <v>0</v>
      </c>
      <c r="AI129" s="396">
        <v>0</v>
      </c>
      <c r="AJ129" s="393">
        <v>1</v>
      </c>
      <c r="AK129" s="393">
        <v>1</v>
      </c>
      <c r="AL129" s="393">
        <v>1</v>
      </c>
      <c r="AM129" s="393">
        <v>1</v>
      </c>
      <c r="AN129" s="392">
        <v>1</v>
      </c>
      <c r="AO129" s="393">
        <v>1</v>
      </c>
      <c r="AP129" s="393">
        <v>1</v>
      </c>
      <c r="AQ129" s="396">
        <v>1</v>
      </c>
      <c r="AR129" s="392">
        <v>0</v>
      </c>
      <c r="AS129" s="393">
        <v>0</v>
      </c>
      <c r="AT129" s="393">
        <v>0</v>
      </c>
      <c r="AU129" s="396">
        <v>0</v>
      </c>
      <c r="AV129" s="393">
        <v>0</v>
      </c>
      <c r="AW129" s="393">
        <v>0</v>
      </c>
      <c r="AX129" s="397">
        <v>0</v>
      </c>
    </row>
    <row r="130" spans="1:50" ht="17.399999999999999" customHeight="1">
      <c r="A130" s="403">
        <v>3310</v>
      </c>
      <c r="B130" s="409" t="s">
        <v>24</v>
      </c>
      <c r="C130" s="409">
        <v>13</v>
      </c>
      <c r="D130" s="405">
        <v>9</v>
      </c>
      <c r="E130" s="412" t="s">
        <v>650</v>
      </c>
      <c r="F130" s="413" t="s">
        <v>9</v>
      </c>
      <c r="G130" s="430">
        <v>43425</v>
      </c>
      <c r="H130" s="377">
        <v>43425</v>
      </c>
      <c r="I130" s="446" t="s">
        <v>703</v>
      </c>
      <c r="J130" s="378">
        <v>1</v>
      </c>
      <c r="K130" s="378">
        <v>1.5</v>
      </c>
      <c r="L130" s="378">
        <f t="shared" si="4"/>
        <v>0</v>
      </c>
      <c r="M130" s="408">
        <f t="shared" si="5"/>
        <v>0</v>
      </c>
      <c r="N130" s="378">
        <v>1</v>
      </c>
      <c r="O130" s="431">
        <v>43440</v>
      </c>
      <c r="P130" s="393"/>
      <c r="Q130" s="392"/>
      <c r="R130" s="393"/>
      <c r="S130" s="393"/>
      <c r="T130" s="393"/>
      <c r="U130" s="393"/>
      <c r="V130" s="396"/>
      <c r="W130" s="393"/>
      <c r="X130" s="393"/>
      <c r="Y130" s="393"/>
      <c r="Z130" s="393"/>
      <c r="AA130" s="393"/>
      <c r="AB130" s="393"/>
      <c r="AC130" s="393"/>
      <c r="AD130" s="393"/>
      <c r="AE130" s="393"/>
      <c r="AF130" s="392"/>
      <c r="AG130" s="393"/>
      <c r="AH130" s="393"/>
      <c r="AI130" s="396"/>
      <c r="AJ130" s="393"/>
      <c r="AK130" s="393"/>
      <c r="AL130" s="393"/>
      <c r="AM130" s="393"/>
      <c r="AN130" s="392"/>
      <c r="AO130" s="393"/>
      <c r="AP130" s="393"/>
      <c r="AQ130" s="396"/>
      <c r="AR130" s="392"/>
      <c r="AS130" s="393"/>
      <c r="AT130" s="393"/>
      <c r="AU130" s="396"/>
      <c r="AV130" s="393"/>
      <c r="AW130" s="393"/>
      <c r="AX130" s="397"/>
    </row>
    <row r="131" spans="1:50" ht="17.399999999999999" customHeight="1">
      <c r="A131" s="403">
        <v>3311</v>
      </c>
      <c r="B131" s="409" t="s">
        <v>24</v>
      </c>
      <c r="C131" s="409">
        <v>14</v>
      </c>
      <c r="D131" s="405">
        <v>10</v>
      </c>
      <c r="E131" s="410" t="s">
        <v>650</v>
      </c>
      <c r="F131" s="411" t="s">
        <v>385</v>
      </c>
      <c r="G131" s="430">
        <v>43420</v>
      </c>
      <c r="H131" s="377">
        <v>43420</v>
      </c>
      <c r="I131" s="383"/>
      <c r="J131" s="378">
        <v>1</v>
      </c>
      <c r="K131" s="378">
        <v>1.5</v>
      </c>
      <c r="L131" s="378">
        <f t="shared" si="4"/>
        <v>26</v>
      </c>
      <c r="M131" s="408">
        <f t="shared" si="5"/>
        <v>0.70270270270270274</v>
      </c>
      <c r="N131" s="378" t="s">
        <v>32</v>
      </c>
      <c r="O131" s="431">
        <v>43420</v>
      </c>
      <c r="P131" s="379">
        <v>-2</v>
      </c>
      <c r="Q131" s="380">
        <v>1</v>
      </c>
      <c r="R131" s="379">
        <v>1</v>
      </c>
      <c r="S131" s="379">
        <v>0</v>
      </c>
      <c r="T131" s="379">
        <v>1</v>
      </c>
      <c r="U131" s="379">
        <v>1</v>
      </c>
      <c r="V131" s="381">
        <v>0</v>
      </c>
      <c r="W131" s="379">
        <v>1</v>
      </c>
      <c r="X131" s="379">
        <v>1</v>
      </c>
      <c r="Y131" s="379">
        <v>1</v>
      </c>
      <c r="Z131" s="379">
        <v>0</v>
      </c>
      <c r="AA131" s="379">
        <v>1</v>
      </c>
      <c r="AB131" s="379">
        <v>1</v>
      </c>
      <c r="AC131" s="379">
        <v>1</v>
      </c>
      <c r="AD131" s="379">
        <v>1</v>
      </c>
      <c r="AE131" s="379">
        <v>1</v>
      </c>
      <c r="AF131" s="380">
        <v>1</v>
      </c>
      <c r="AG131" s="379">
        <v>1</v>
      </c>
      <c r="AH131" s="379">
        <v>0</v>
      </c>
      <c r="AI131" s="381">
        <v>0</v>
      </c>
      <c r="AJ131" s="379">
        <v>1</v>
      </c>
      <c r="AK131" s="379">
        <v>1</v>
      </c>
      <c r="AL131" s="379">
        <v>1</v>
      </c>
      <c r="AM131" s="379">
        <v>1</v>
      </c>
      <c r="AN131" s="380">
        <v>1</v>
      </c>
      <c r="AO131" s="379">
        <v>1</v>
      </c>
      <c r="AP131" s="379">
        <v>1</v>
      </c>
      <c r="AQ131" s="381">
        <v>1</v>
      </c>
      <c r="AR131" s="380">
        <v>1</v>
      </c>
      <c r="AS131" s="379">
        <v>1</v>
      </c>
      <c r="AT131" s="379">
        <v>1</v>
      </c>
      <c r="AU131" s="381">
        <v>0</v>
      </c>
      <c r="AV131" s="379">
        <v>0</v>
      </c>
      <c r="AW131" s="379">
        <v>0</v>
      </c>
      <c r="AX131" s="382">
        <v>3</v>
      </c>
    </row>
    <row r="132" spans="1:50" ht="17.399999999999999" customHeight="1">
      <c r="A132" s="403">
        <v>3312</v>
      </c>
      <c r="B132" s="409" t="s">
        <v>24</v>
      </c>
      <c r="C132" s="409">
        <v>15</v>
      </c>
      <c r="D132" s="405">
        <v>9</v>
      </c>
      <c r="E132" s="410" t="s">
        <v>439</v>
      </c>
      <c r="F132" s="411" t="s">
        <v>66</v>
      </c>
      <c r="G132" s="430">
        <v>43410</v>
      </c>
      <c r="H132" s="377">
        <v>43410</v>
      </c>
      <c r="I132" s="383"/>
      <c r="J132" s="378">
        <v>1</v>
      </c>
      <c r="K132" s="378">
        <v>1.5</v>
      </c>
      <c r="L132" s="378">
        <f t="shared" si="4"/>
        <v>11</v>
      </c>
      <c r="M132" s="408">
        <f t="shared" si="5"/>
        <v>0.29729729729729731</v>
      </c>
      <c r="N132" s="378">
        <v>1</v>
      </c>
      <c r="O132" s="431">
        <v>43411</v>
      </c>
      <c r="P132" s="379">
        <v>-15</v>
      </c>
      <c r="Q132" s="444">
        <v>1</v>
      </c>
      <c r="R132" s="379">
        <v>1</v>
      </c>
      <c r="S132" s="379">
        <v>1</v>
      </c>
      <c r="T132" s="379">
        <v>1</v>
      </c>
      <c r="U132" s="443">
        <v>0</v>
      </c>
      <c r="V132" s="381">
        <v>0</v>
      </c>
      <c r="W132" s="379">
        <v>0</v>
      </c>
      <c r="X132" s="379">
        <v>0</v>
      </c>
      <c r="Y132" s="379">
        <v>1</v>
      </c>
      <c r="Z132" s="379">
        <v>1</v>
      </c>
      <c r="AA132" s="379">
        <v>1</v>
      </c>
      <c r="AB132" s="379">
        <v>1</v>
      </c>
      <c r="AC132" s="379">
        <v>0</v>
      </c>
      <c r="AD132" s="379">
        <v>1</v>
      </c>
      <c r="AE132" s="379">
        <v>1</v>
      </c>
      <c r="AF132" s="380">
        <v>1</v>
      </c>
      <c r="AG132" s="379">
        <v>1</v>
      </c>
      <c r="AH132" s="379">
        <v>1</v>
      </c>
      <c r="AI132" s="381">
        <v>0</v>
      </c>
      <c r="AJ132" s="379">
        <v>1</v>
      </c>
      <c r="AK132" s="379">
        <v>1</v>
      </c>
      <c r="AL132" s="379">
        <v>1</v>
      </c>
      <c r="AM132" s="379">
        <v>1</v>
      </c>
      <c r="AN132" s="380">
        <v>1</v>
      </c>
      <c r="AO132" s="379">
        <v>1</v>
      </c>
      <c r="AP132" s="379">
        <v>1</v>
      </c>
      <c r="AQ132" s="381">
        <v>1</v>
      </c>
      <c r="AR132" s="380">
        <v>0</v>
      </c>
      <c r="AS132" s="379">
        <v>1</v>
      </c>
      <c r="AT132" s="443">
        <v>0</v>
      </c>
      <c r="AU132" s="381">
        <v>1</v>
      </c>
      <c r="AV132" s="379">
        <v>2</v>
      </c>
      <c r="AW132" s="379">
        <v>0</v>
      </c>
      <c r="AX132" s="382">
        <v>1</v>
      </c>
    </row>
    <row r="133" spans="1:50" ht="17.399999999999999" customHeight="1">
      <c r="A133" s="403">
        <v>3313</v>
      </c>
      <c r="B133" s="409" t="s">
        <v>24</v>
      </c>
      <c r="C133" s="409">
        <v>16</v>
      </c>
      <c r="D133" s="405">
        <v>9</v>
      </c>
      <c r="E133" s="410" t="s">
        <v>348</v>
      </c>
      <c r="F133" s="411" t="s">
        <v>16</v>
      </c>
      <c r="G133" s="430">
        <v>43410</v>
      </c>
      <c r="H133" s="377">
        <v>43410</v>
      </c>
      <c r="I133" s="393"/>
      <c r="J133" s="378">
        <v>1</v>
      </c>
      <c r="K133" s="378">
        <v>1.5</v>
      </c>
      <c r="L133" s="378">
        <f t="shared" si="4"/>
        <v>15</v>
      </c>
      <c r="M133" s="408">
        <f t="shared" si="5"/>
        <v>0.40540540540540543</v>
      </c>
      <c r="N133" s="378">
        <v>2</v>
      </c>
      <c r="O133" s="431">
        <v>43411</v>
      </c>
      <c r="P133" s="393">
        <v>-1</v>
      </c>
      <c r="Q133" s="380">
        <v>1</v>
      </c>
      <c r="R133" s="379">
        <v>1</v>
      </c>
      <c r="S133" s="379">
        <v>1</v>
      </c>
      <c r="T133" s="379">
        <v>1</v>
      </c>
      <c r="U133" s="443">
        <v>0</v>
      </c>
      <c r="V133" s="381">
        <v>0</v>
      </c>
      <c r="W133" s="379">
        <v>1</v>
      </c>
      <c r="X133" s="379">
        <v>1</v>
      </c>
      <c r="Y133" s="379">
        <v>0</v>
      </c>
      <c r="Z133" s="379">
        <v>1</v>
      </c>
      <c r="AA133" s="379">
        <v>0</v>
      </c>
      <c r="AB133" s="379">
        <v>0</v>
      </c>
      <c r="AC133" s="379">
        <v>0</v>
      </c>
      <c r="AD133" s="379">
        <v>1</v>
      </c>
      <c r="AE133" s="379">
        <v>0</v>
      </c>
      <c r="AF133" s="380">
        <v>1</v>
      </c>
      <c r="AG133" s="379">
        <v>1</v>
      </c>
      <c r="AH133" s="379">
        <v>0</v>
      </c>
      <c r="AI133" s="381">
        <v>0</v>
      </c>
      <c r="AJ133" s="379">
        <v>1</v>
      </c>
      <c r="AK133" s="379">
        <v>0</v>
      </c>
      <c r="AL133" s="379">
        <v>0</v>
      </c>
      <c r="AM133" s="379">
        <v>1</v>
      </c>
      <c r="AN133" s="380">
        <v>1</v>
      </c>
      <c r="AO133" s="379">
        <v>1</v>
      </c>
      <c r="AP133" s="379">
        <v>1</v>
      </c>
      <c r="AQ133" s="381">
        <v>1</v>
      </c>
      <c r="AR133" s="380">
        <v>0</v>
      </c>
      <c r="AS133" s="379">
        <v>0</v>
      </c>
      <c r="AT133" s="379">
        <v>0</v>
      </c>
      <c r="AU133" s="381">
        <v>0</v>
      </c>
      <c r="AV133" s="379">
        <v>0</v>
      </c>
      <c r="AW133" s="379">
        <v>0</v>
      </c>
      <c r="AX133" s="382">
        <v>0</v>
      </c>
    </row>
    <row r="134" spans="1:50" ht="17.399999999999999" customHeight="1">
      <c r="A134" s="403">
        <v>3354</v>
      </c>
      <c r="B134" s="409" t="s">
        <v>24</v>
      </c>
      <c r="C134" s="409">
        <v>24</v>
      </c>
      <c r="D134" s="405">
        <v>9</v>
      </c>
      <c r="E134" s="410" t="s">
        <v>55</v>
      </c>
      <c r="F134" s="411" t="s">
        <v>599</v>
      </c>
      <c r="G134" s="430">
        <v>43434</v>
      </c>
      <c r="H134" s="377"/>
      <c r="I134" s="393" t="s">
        <v>208</v>
      </c>
      <c r="J134" s="378">
        <v>1</v>
      </c>
      <c r="K134" s="378">
        <v>0.1</v>
      </c>
      <c r="L134" s="378">
        <f t="shared" si="4"/>
        <v>0</v>
      </c>
      <c r="M134" s="408">
        <f t="shared" si="5"/>
        <v>0</v>
      </c>
      <c r="N134" s="378">
        <v>1</v>
      </c>
      <c r="O134" s="431">
        <v>43441</v>
      </c>
      <c r="P134" s="393"/>
      <c r="Q134" s="380"/>
      <c r="R134" s="379"/>
      <c r="S134" s="379"/>
      <c r="T134" s="379"/>
      <c r="U134" s="379"/>
      <c r="V134" s="381"/>
      <c r="W134" s="379"/>
      <c r="X134" s="379"/>
      <c r="Y134" s="379"/>
      <c r="Z134" s="379"/>
      <c r="AA134" s="379"/>
      <c r="AB134" s="379"/>
      <c r="AC134" s="379"/>
      <c r="AD134" s="379"/>
      <c r="AE134" s="379"/>
      <c r="AF134" s="380"/>
      <c r="AG134" s="379"/>
      <c r="AH134" s="379"/>
      <c r="AI134" s="381"/>
      <c r="AJ134" s="379"/>
      <c r="AK134" s="379"/>
      <c r="AL134" s="379"/>
      <c r="AM134" s="379"/>
      <c r="AN134" s="380"/>
      <c r="AO134" s="379"/>
      <c r="AP134" s="379"/>
      <c r="AQ134" s="381"/>
      <c r="AR134" s="380"/>
      <c r="AS134" s="379"/>
      <c r="AT134" s="379"/>
      <c r="AU134" s="381"/>
      <c r="AV134" s="379"/>
      <c r="AW134" s="379"/>
      <c r="AX134" s="382"/>
    </row>
    <row r="135" spans="1:50" ht="17.399999999999999" customHeight="1">
      <c r="A135" s="457">
        <v>3354</v>
      </c>
      <c r="B135" s="471" t="s">
        <v>24</v>
      </c>
      <c r="C135" s="471">
        <v>24</v>
      </c>
      <c r="D135" s="459">
        <v>9</v>
      </c>
      <c r="E135" s="472" t="s">
        <v>55</v>
      </c>
      <c r="F135" s="473" t="s">
        <v>599</v>
      </c>
      <c r="G135" s="462"/>
      <c r="H135" s="463">
        <v>43452</v>
      </c>
      <c r="I135" s="467"/>
      <c r="J135" s="464">
        <v>2</v>
      </c>
      <c r="K135" s="464">
        <v>1.4</v>
      </c>
      <c r="L135" s="464">
        <f t="shared" si="4"/>
        <v>33</v>
      </c>
      <c r="M135" s="465">
        <f t="shared" si="5"/>
        <v>0.89189189189189189</v>
      </c>
      <c r="N135" s="464">
        <v>5</v>
      </c>
      <c r="O135" s="466">
        <v>43453</v>
      </c>
      <c r="P135" s="467">
        <v>-2</v>
      </c>
      <c r="Q135" s="468">
        <v>1</v>
      </c>
      <c r="R135" s="467">
        <v>1</v>
      </c>
      <c r="S135" s="467">
        <v>1</v>
      </c>
      <c r="T135" s="467">
        <v>1</v>
      </c>
      <c r="U135" s="467">
        <v>1</v>
      </c>
      <c r="V135" s="469">
        <v>1</v>
      </c>
      <c r="W135" s="467">
        <v>1</v>
      </c>
      <c r="X135" s="467">
        <v>1</v>
      </c>
      <c r="Y135" s="467">
        <v>1</v>
      </c>
      <c r="Z135" s="467">
        <v>1</v>
      </c>
      <c r="AA135" s="467">
        <v>1</v>
      </c>
      <c r="AB135" s="467">
        <v>1</v>
      </c>
      <c r="AC135" s="467">
        <v>1</v>
      </c>
      <c r="AD135" s="467">
        <v>1</v>
      </c>
      <c r="AE135" s="467">
        <v>1</v>
      </c>
      <c r="AF135" s="468">
        <v>1</v>
      </c>
      <c r="AG135" s="467">
        <v>1</v>
      </c>
      <c r="AH135" s="467">
        <v>1</v>
      </c>
      <c r="AI135" s="469">
        <v>1</v>
      </c>
      <c r="AJ135" s="467">
        <v>1</v>
      </c>
      <c r="AK135" s="467">
        <v>1</v>
      </c>
      <c r="AL135" s="467">
        <v>1</v>
      </c>
      <c r="AM135" s="467">
        <v>1</v>
      </c>
      <c r="AN135" s="468">
        <v>1</v>
      </c>
      <c r="AO135" s="467">
        <v>1</v>
      </c>
      <c r="AP135" s="467">
        <v>1</v>
      </c>
      <c r="AQ135" s="469">
        <v>1</v>
      </c>
      <c r="AR135" s="468">
        <v>1</v>
      </c>
      <c r="AS135" s="467">
        <v>1</v>
      </c>
      <c r="AT135" s="467">
        <v>1</v>
      </c>
      <c r="AU135" s="469">
        <v>1</v>
      </c>
      <c r="AV135" s="467">
        <v>2</v>
      </c>
      <c r="AW135" s="467">
        <v>1</v>
      </c>
      <c r="AX135" s="537">
        <v>1</v>
      </c>
    </row>
    <row r="136" spans="1:50" ht="17.399999999999999" customHeight="1">
      <c r="A136" s="403">
        <v>3314</v>
      </c>
      <c r="B136" s="409" t="s">
        <v>24</v>
      </c>
      <c r="C136" s="409">
        <v>17</v>
      </c>
      <c r="D136" s="405">
        <v>10</v>
      </c>
      <c r="E136" s="410" t="s">
        <v>167</v>
      </c>
      <c r="F136" s="411" t="s">
        <v>65</v>
      </c>
      <c r="G136" s="430">
        <v>43420</v>
      </c>
      <c r="H136" s="377">
        <v>43420</v>
      </c>
      <c r="I136" s="383"/>
      <c r="J136" s="378">
        <v>1</v>
      </c>
      <c r="K136" s="378">
        <v>1.5</v>
      </c>
      <c r="L136" s="378">
        <f t="shared" si="4"/>
        <v>7</v>
      </c>
      <c r="M136" s="408">
        <f t="shared" si="5"/>
        <v>0.1891891891891892</v>
      </c>
      <c r="N136" s="378">
        <v>1</v>
      </c>
      <c r="O136" s="431">
        <v>43420</v>
      </c>
      <c r="P136" s="379">
        <v>-4</v>
      </c>
      <c r="Q136" s="380">
        <v>1</v>
      </c>
      <c r="R136" s="379">
        <v>0</v>
      </c>
      <c r="S136" s="379">
        <v>0</v>
      </c>
      <c r="T136" s="379">
        <v>1</v>
      </c>
      <c r="U136" s="379">
        <v>0</v>
      </c>
      <c r="V136" s="381">
        <v>0</v>
      </c>
      <c r="W136" s="379">
        <v>0</v>
      </c>
      <c r="X136" s="379">
        <v>1</v>
      </c>
      <c r="Y136" s="379">
        <v>0</v>
      </c>
      <c r="Z136" s="379">
        <v>0</v>
      </c>
      <c r="AA136" s="379">
        <v>0</v>
      </c>
      <c r="AB136" s="379">
        <v>0</v>
      </c>
      <c r="AC136" s="379">
        <v>0</v>
      </c>
      <c r="AD136" s="379">
        <v>1</v>
      </c>
      <c r="AE136" s="379">
        <v>0</v>
      </c>
      <c r="AF136" s="380">
        <v>0</v>
      </c>
      <c r="AG136" s="379">
        <v>1</v>
      </c>
      <c r="AH136" s="379">
        <v>0</v>
      </c>
      <c r="AI136" s="381">
        <v>0</v>
      </c>
      <c r="AJ136" s="379">
        <v>1</v>
      </c>
      <c r="AK136" s="379">
        <v>1</v>
      </c>
      <c r="AL136" s="379">
        <v>1</v>
      </c>
      <c r="AM136" s="379">
        <v>1</v>
      </c>
      <c r="AN136" s="380">
        <v>1</v>
      </c>
      <c r="AO136" s="379">
        <v>0</v>
      </c>
      <c r="AP136" s="379">
        <v>0</v>
      </c>
      <c r="AQ136" s="381">
        <v>0</v>
      </c>
      <c r="AR136" s="380">
        <v>0</v>
      </c>
      <c r="AS136" s="379">
        <v>1</v>
      </c>
      <c r="AT136" s="379">
        <v>0</v>
      </c>
      <c r="AU136" s="381">
        <v>0</v>
      </c>
      <c r="AV136" s="379">
        <v>0</v>
      </c>
      <c r="AW136" s="443">
        <v>0</v>
      </c>
      <c r="AX136" s="382">
        <v>0</v>
      </c>
    </row>
    <row r="137" spans="1:50" ht="17.399999999999999" customHeight="1">
      <c r="A137" s="403">
        <v>3346</v>
      </c>
      <c r="B137" s="409" t="s">
        <v>24</v>
      </c>
      <c r="C137" s="409">
        <v>18</v>
      </c>
      <c r="D137" s="405">
        <v>9</v>
      </c>
      <c r="E137" s="412" t="s">
        <v>651</v>
      </c>
      <c r="F137" s="413" t="s">
        <v>551</v>
      </c>
      <c r="G137" s="430">
        <v>43410</v>
      </c>
      <c r="H137" s="377">
        <v>43410</v>
      </c>
      <c r="I137" s="383"/>
      <c r="J137" s="378">
        <v>1</v>
      </c>
      <c r="K137" s="378">
        <v>1.5</v>
      </c>
      <c r="L137" s="378">
        <f t="shared" si="4"/>
        <v>17</v>
      </c>
      <c r="M137" s="408">
        <f t="shared" si="5"/>
        <v>0.45945945945945948</v>
      </c>
      <c r="N137" s="378" t="s">
        <v>35</v>
      </c>
      <c r="O137" s="431">
        <v>43411</v>
      </c>
      <c r="P137" s="379">
        <v>-6</v>
      </c>
      <c r="Q137" s="380">
        <v>1</v>
      </c>
      <c r="R137" s="379">
        <v>1</v>
      </c>
      <c r="S137" s="379">
        <v>0</v>
      </c>
      <c r="T137" s="379">
        <v>1</v>
      </c>
      <c r="U137" s="379">
        <v>0</v>
      </c>
      <c r="V137" s="381">
        <v>0</v>
      </c>
      <c r="W137" s="379">
        <v>1</v>
      </c>
      <c r="X137" s="379">
        <v>1</v>
      </c>
      <c r="Y137" s="379">
        <v>1</v>
      </c>
      <c r="Z137" s="379">
        <v>0</v>
      </c>
      <c r="AA137" s="379">
        <v>1</v>
      </c>
      <c r="AB137" s="379">
        <v>1</v>
      </c>
      <c r="AC137" s="379">
        <v>1</v>
      </c>
      <c r="AD137" s="379">
        <v>1</v>
      </c>
      <c r="AE137" s="443">
        <v>0</v>
      </c>
      <c r="AF137" s="380">
        <v>1</v>
      </c>
      <c r="AG137" s="379">
        <v>1</v>
      </c>
      <c r="AH137" s="379">
        <v>1</v>
      </c>
      <c r="AI137" s="381">
        <v>0</v>
      </c>
      <c r="AJ137" s="379">
        <v>1</v>
      </c>
      <c r="AK137" s="379">
        <v>1</v>
      </c>
      <c r="AL137" s="379">
        <v>1</v>
      </c>
      <c r="AM137" s="379">
        <v>1</v>
      </c>
      <c r="AN137" s="380">
        <v>1</v>
      </c>
      <c r="AO137" s="379">
        <v>1</v>
      </c>
      <c r="AP137" s="379">
        <v>1</v>
      </c>
      <c r="AQ137" s="381">
        <v>1</v>
      </c>
      <c r="AR137" s="380">
        <v>1</v>
      </c>
      <c r="AS137" s="379">
        <v>1</v>
      </c>
      <c r="AT137" s="379">
        <v>0</v>
      </c>
      <c r="AU137" s="381">
        <v>0</v>
      </c>
      <c r="AV137" s="379">
        <v>0</v>
      </c>
      <c r="AW137" s="379">
        <v>0</v>
      </c>
      <c r="AX137" s="382">
        <v>0</v>
      </c>
    </row>
    <row r="138" spans="1:50" ht="17.399999999999999" customHeight="1">
      <c r="A138" s="403">
        <v>3315</v>
      </c>
      <c r="B138" s="409" t="s">
        <v>24</v>
      </c>
      <c r="C138" s="409">
        <v>19</v>
      </c>
      <c r="D138" s="405">
        <v>10</v>
      </c>
      <c r="E138" s="410" t="s">
        <v>652</v>
      </c>
      <c r="F138" s="411" t="s">
        <v>0</v>
      </c>
      <c r="G138" s="430">
        <v>43427</v>
      </c>
      <c r="H138" s="377">
        <v>43434</v>
      </c>
      <c r="I138" s="383"/>
      <c r="J138" s="378">
        <v>1</v>
      </c>
      <c r="K138" s="378">
        <v>1.5</v>
      </c>
      <c r="L138" s="378">
        <f t="shared" si="4"/>
        <v>32</v>
      </c>
      <c r="M138" s="408">
        <f t="shared" si="5"/>
        <v>0.86486486486486491</v>
      </c>
      <c r="N138" s="378" t="s">
        <v>33</v>
      </c>
      <c r="O138" s="431">
        <v>43437</v>
      </c>
      <c r="P138" s="379"/>
      <c r="Q138" s="380">
        <v>1</v>
      </c>
      <c r="R138" s="379">
        <v>1</v>
      </c>
      <c r="S138" s="379">
        <v>1</v>
      </c>
      <c r="T138" s="379">
        <v>1</v>
      </c>
      <c r="U138" s="379">
        <v>1</v>
      </c>
      <c r="V138" s="381">
        <v>0</v>
      </c>
      <c r="W138" s="379">
        <v>1</v>
      </c>
      <c r="X138" s="379">
        <v>1</v>
      </c>
      <c r="Y138" s="379">
        <v>1</v>
      </c>
      <c r="Z138" s="379">
        <v>0</v>
      </c>
      <c r="AA138" s="379">
        <v>1</v>
      </c>
      <c r="AB138" s="379">
        <v>1</v>
      </c>
      <c r="AC138" s="379">
        <v>1</v>
      </c>
      <c r="AD138" s="379">
        <v>1</v>
      </c>
      <c r="AE138" s="379">
        <v>1</v>
      </c>
      <c r="AF138" s="380">
        <v>1</v>
      </c>
      <c r="AG138" s="379">
        <v>1</v>
      </c>
      <c r="AH138" s="379">
        <v>1</v>
      </c>
      <c r="AI138" s="381">
        <v>1</v>
      </c>
      <c r="AJ138" s="379">
        <v>1</v>
      </c>
      <c r="AK138" s="379">
        <v>1</v>
      </c>
      <c r="AL138" s="379">
        <v>1</v>
      </c>
      <c r="AM138" s="379">
        <v>1</v>
      </c>
      <c r="AN138" s="380">
        <v>1</v>
      </c>
      <c r="AO138" s="379">
        <v>1</v>
      </c>
      <c r="AP138" s="379">
        <v>1</v>
      </c>
      <c r="AQ138" s="381">
        <v>1</v>
      </c>
      <c r="AR138" s="380">
        <v>1</v>
      </c>
      <c r="AS138" s="379">
        <v>1</v>
      </c>
      <c r="AT138" s="379">
        <v>1</v>
      </c>
      <c r="AU138" s="381">
        <v>1</v>
      </c>
      <c r="AV138" s="379">
        <v>0</v>
      </c>
      <c r="AW138" s="379">
        <v>0</v>
      </c>
      <c r="AX138" s="382">
        <v>3</v>
      </c>
    </row>
    <row r="139" spans="1:50" ht="17.399999999999999" customHeight="1">
      <c r="A139" s="403">
        <v>3316</v>
      </c>
      <c r="B139" s="409" t="s">
        <v>24</v>
      </c>
      <c r="C139" s="409">
        <v>20</v>
      </c>
      <c r="D139" s="405">
        <v>10</v>
      </c>
      <c r="E139" s="410" t="s">
        <v>357</v>
      </c>
      <c r="F139" s="411" t="s">
        <v>10</v>
      </c>
      <c r="G139" s="430">
        <v>43420</v>
      </c>
      <c r="H139" s="377">
        <v>43420</v>
      </c>
      <c r="I139" s="383"/>
      <c r="J139" s="378">
        <v>1</v>
      </c>
      <c r="K139" s="378">
        <v>1.5</v>
      </c>
      <c r="L139" s="378">
        <f t="shared" si="4"/>
        <v>22</v>
      </c>
      <c r="M139" s="408">
        <f t="shared" si="5"/>
        <v>0.59459459459459463</v>
      </c>
      <c r="N139" s="378">
        <v>3</v>
      </c>
      <c r="O139" s="431">
        <v>43420</v>
      </c>
      <c r="P139" s="379"/>
      <c r="Q139" s="380">
        <v>1</v>
      </c>
      <c r="R139" s="379">
        <v>1</v>
      </c>
      <c r="S139" s="379">
        <v>0</v>
      </c>
      <c r="T139" s="379">
        <v>1</v>
      </c>
      <c r="U139" s="379">
        <v>1</v>
      </c>
      <c r="V139" s="381">
        <v>0</v>
      </c>
      <c r="W139" s="379">
        <v>1</v>
      </c>
      <c r="X139" s="379">
        <v>1</v>
      </c>
      <c r="Y139" s="379">
        <v>1</v>
      </c>
      <c r="Z139" s="379">
        <v>1</v>
      </c>
      <c r="AA139" s="379">
        <v>1</v>
      </c>
      <c r="AB139" s="379">
        <v>1</v>
      </c>
      <c r="AC139" s="379">
        <v>1</v>
      </c>
      <c r="AD139" s="379">
        <v>1</v>
      </c>
      <c r="AE139" s="379">
        <v>1</v>
      </c>
      <c r="AF139" s="380">
        <v>1</v>
      </c>
      <c r="AG139" s="379">
        <v>0</v>
      </c>
      <c r="AH139" s="379">
        <v>1</v>
      </c>
      <c r="AI139" s="381">
        <v>1</v>
      </c>
      <c r="AJ139" s="379">
        <v>1</v>
      </c>
      <c r="AK139" s="379">
        <v>1</v>
      </c>
      <c r="AL139" s="379">
        <v>1</v>
      </c>
      <c r="AM139" s="379">
        <v>1</v>
      </c>
      <c r="AN139" s="380">
        <v>1</v>
      </c>
      <c r="AO139" s="379">
        <v>0</v>
      </c>
      <c r="AP139" s="379">
        <v>1</v>
      </c>
      <c r="AQ139" s="381">
        <v>0</v>
      </c>
      <c r="AR139" s="380">
        <v>0</v>
      </c>
      <c r="AS139" s="379">
        <v>0</v>
      </c>
      <c r="AT139" s="379">
        <v>0</v>
      </c>
      <c r="AU139" s="381">
        <v>0</v>
      </c>
      <c r="AV139" s="379">
        <v>0</v>
      </c>
      <c r="AW139" s="379">
        <v>0</v>
      </c>
      <c r="AX139" s="382">
        <v>0</v>
      </c>
    </row>
    <row r="140" spans="1:50" ht="17.399999999999999" customHeight="1">
      <c r="A140" s="403">
        <v>3352</v>
      </c>
      <c r="B140" s="409" t="s">
        <v>24</v>
      </c>
      <c r="C140" s="409">
        <v>21</v>
      </c>
      <c r="D140" s="405">
        <v>10</v>
      </c>
      <c r="E140" s="412" t="s">
        <v>653</v>
      </c>
      <c r="F140" s="413" t="s">
        <v>12</v>
      </c>
      <c r="G140" s="430">
        <v>43420</v>
      </c>
      <c r="H140" s="377">
        <v>43420</v>
      </c>
      <c r="I140" s="383"/>
      <c r="J140" s="378">
        <v>1</v>
      </c>
      <c r="K140" s="378">
        <v>1.5</v>
      </c>
      <c r="L140" s="378">
        <f t="shared" si="4"/>
        <v>21</v>
      </c>
      <c r="M140" s="408">
        <f t="shared" si="5"/>
        <v>0.56756756756756754</v>
      </c>
      <c r="N140" s="378">
        <v>3</v>
      </c>
      <c r="O140" s="431">
        <v>43420</v>
      </c>
      <c r="P140" s="393"/>
      <c r="Q140" s="392">
        <v>1</v>
      </c>
      <c r="R140" s="393">
        <v>1</v>
      </c>
      <c r="S140" s="393">
        <v>1</v>
      </c>
      <c r="T140" s="393">
        <v>1</v>
      </c>
      <c r="U140" s="393">
        <v>1</v>
      </c>
      <c r="V140" s="396">
        <v>0</v>
      </c>
      <c r="W140" s="393">
        <v>1</v>
      </c>
      <c r="X140" s="393">
        <v>1</v>
      </c>
      <c r="Y140" s="393">
        <v>1</v>
      </c>
      <c r="Z140" s="393">
        <v>0</v>
      </c>
      <c r="AA140" s="393">
        <v>0</v>
      </c>
      <c r="AB140" s="393">
        <v>1</v>
      </c>
      <c r="AC140" s="393">
        <v>1</v>
      </c>
      <c r="AD140" s="393">
        <v>0</v>
      </c>
      <c r="AE140" s="393">
        <v>0</v>
      </c>
      <c r="AF140" s="392">
        <v>1</v>
      </c>
      <c r="AG140" s="393">
        <v>1</v>
      </c>
      <c r="AH140" s="393">
        <v>1</v>
      </c>
      <c r="AI140" s="396">
        <v>0</v>
      </c>
      <c r="AJ140" s="393">
        <v>1</v>
      </c>
      <c r="AK140" s="393">
        <v>1</v>
      </c>
      <c r="AL140" s="393">
        <v>0</v>
      </c>
      <c r="AM140" s="393">
        <v>1</v>
      </c>
      <c r="AN140" s="392">
        <v>0</v>
      </c>
      <c r="AO140" s="393">
        <v>0</v>
      </c>
      <c r="AP140" s="393">
        <v>1</v>
      </c>
      <c r="AQ140" s="396">
        <v>1</v>
      </c>
      <c r="AR140" s="392">
        <v>0</v>
      </c>
      <c r="AS140" s="393">
        <v>1</v>
      </c>
      <c r="AT140" s="393">
        <v>1</v>
      </c>
      <c r="AU140" s="396">
        <v>0</v>
      </c>
      <c r="AV140" s="393">
        <v>0</v>
      </c>
      <c r="AW140" s="393">
        <v>0</v>
      </c>
      <c r="AX140" s="397">
        <v>1</v>
      </c>
    </row>
    <row r="141" spans="1:50" ht="17.399999999999999" customHeight="1">
      <c r="A141" s="403">
        <v>3317</v>
      </c>
      <c r="B141" s="409" t="s">
        <v>24</v>
      </c>
      <c r="C141" s="409">
        <v>22</v>
      </c>
      <c r="D141" s="405">
        <v>10</v>
      </c>
      <c r="E141" s="410" t="s">
        <v>546</v>
      </c>
      <c r="F141" s="411" t="s">
        <v>19</v>
      </c>
      <c r="G141" s="430">
        <v>43420</v>
      </c>
      <c r="H141" s="377">
        <v>43420</v>
      </c>
      <c r="I141" s="383"/>
      <c r="J141" s="378">
        <v>1</v>
      </c>
      <c r="K141" s="378">
        <v>1.5</v>
      </c>
      <c r="L141" s="378">
        <f t="shared" si="4"/>
        <v>22</v>
      </c>
      <c r="M141" s="408">
        <f t="shared" si="5"/>
        <v>0.59459459459459463</v>
      </c>
      <c r="N141" s="378">
        <v>3</v>
      </c>
      <c r="O141" s="431">
        <v>43420</v>
      </c>
      <c r="P141" s="379"/>
      <c r="Q141" s="380">
        <v>1</v>
      </c>
      <c r="R141" s="379">
        <v>1</v>
      </c>
      <c r="S141" s="379">
        <v>1</v>
      </c>
      <c r="T141" s="379">
        <v>1</v>
      </c>
      <c r="U141" s="379">
        <v>1</v>
      </c>
      <c r="V141" s="381">
        <v>1</v>
      </c>
      <c r="W141" s="379">
        <v>1</v>
      </c>
      <c r="X141" s="379">
        <v>1</v>
      </c>
      <c r="Y141" s="379">
        <v>1</v>
      </c>
      <c r="Z141" s="379">
        <v>1</v>
      </c>
      <c r="AA141" s="379">
        <v>0</v>
      </c>
      <c r="AB141" s="379">
        <v>1</v>
      </c>
      <c r="AC141" s="379">
        <v>0</v>
      </c>
      <c r="AD141" s="379">
        <v>0</v>
      </c>
      <c r="AE141" s="379">
        <v>0</v>
      </c>
      <c r="AF141" s="380">
        <v>0</v>
      </c>
      <c r="AG141" s="379">
        <v>0</v>
      </c>
      <c r="AH141" s="379">
        <v>0</v>
      </c>
      <c r="AI141" s="381">
        <v>0</v>
      </c>
      <c r="AJ141" s="379">
        <v>1</v>
      </c>
      <c r="AK141" s="379">
        <v>1</v>
      </c>
      <c r="AL141" s="379">
        <v>1</v>
      </c>
      <c r="AM141" s="379">
        <v>1</v>
      </c>
      <c r="AN141" s="380">
        <v>0</v>
      </c>
      <c r="AO141" s="379">
        <v>0</v>
      </c>
      <c r="AP141" s="379">
        <v>1</v>
      </c>
      <c r="AQ141" s="381">
        <v>1</v>
      </c>
      <c r="AR141" s="380">
        <v>1</v>
      </c>
      <c r="AS141" s="379">
        <v>1</v>
      </c>
      <c r="AT141" s="379">
        <v>1</v>
      </c>
      <c r="AU141" s="381">
        <v>0</v>
      </c>
      <c r="AV141" s="379">
        <v>2</v>
      </c>
      <c r="AW141" s="379">
        <v>0</v>
      </c>
      <c r="AX141" s="382">
        <v>0</v>
      </c>
    </row>
    <row r="142" spans="1:50" ht="17.399999999999999" customHeight="1" thickBot="1">
      <c r="A142" s="414">
        <v>3318</v>
      </c>
      <c r="B142" s="420" t="s">
        <v>24</v>
      </c>
      <c r="C142" s="420">
        <v>23</v>
      </c>
      <c r="D142" s="416">
        <v>10</v>
      </c>
      <c r="E142" s="423" t="s">
        <v>654</v>
      </c>
      <c r="F142" s="424" t="s">
        <v>655</v>
      </c>
      <c r="G142" s="432">
        <v>43420</v>
      </c>
      <c r="H142" s="388">
        <v>43420</v>
      </c>
      <c r="I142" s="389"/>
      <c r="J142" s="390">
        <v>1</v>
      </c>
      <c r="K142" s="390">
        <v>1.5</v>
      </c>
      <c r="L142" s="390">
        <f t="shared" si="4"/>
        <v>26</v>
      </c>
      <c r="M142" s="419">
        <f t="shared" si="5"/>
        <v>0.70270270270270274</v>
      </c>
      <c r="N142" s="390" t="s">
        <v>32</v>
      </c>
      <c r="O142" s="433">
        <v>43420</v>
      </c>
      <c r="P142" s="395"/>
      <c r="Q142" s="394">
        <v>1</v>
      </c>
      <c r="R142" s="395">
        <v>1</v>
      </c>
      <c r="S142" s="395">
        <v>1</v>
      </c>
      <c r="T142" s="395">
        <v>1</v>
      </c>
      <c r="U142" s="395">
        <v>1</v>
      </c>
      <c r="V142" s="437">
        <v>0</v>
      </c>
      <c r="W142" s="395">
        <v>1</v>
      </c>
      <c r="X142" s="395">
        <v>1</v>
      </c>
      <c r="Y142" s="395">
        <v>1</v>
      </c>
      <c r="Z142" s="395">
        <v>1</v>
      </c>
      <c r="AA142" s="395">
        <v>1</v>
      </c>
      <c r="AB142" s="395">
        <v>1</v>
      </c>
      <c r="AC142" s="395">
        <v>1</v>
      </c>
      <c r="AD142" s="395">
        <v>1</v>
      </c>
      <c r="AE142" s="395">
        <v>1</v>
      </c>
      <c r="AF142" s="394">
        <v>1</v>
      </c>
      <c r="AG142" s="395">
        <v>1</v>
      </c>
      <c r="AH142" s="395">
        <v>1</v>
      </c>
      <c r="AI142" s="437">
        <v>1</v>
      </c>
      <c r="AJ142" s="395">
        <v>1</v>
      </c>
      <c r="AK142" s="395">
        <v>1</v>
      </c>
      <c r="AL142" s="395">
        <v>1</v>
      </c>
      <c r="AM142" s="395">
        <v>1</v>
      </c>
      <c r="AN142" s="394">
        <v>1</v>
      </c>
      <c r="AO142" s="395">
        <v>1</v>
      </c>
      <c r="AP142" s="395">
        <v>1</v>
      </c>
      <c r="AQ142" s="437">
        <v>1</v>
      </c>
      <c r="AR142" s="394">
        <v>0</v>
      </c>
      <c r="AS142" s="395">
        <v>0</v>
      </c>
      <c r="AT142" s="395">
        <v>0</v>
      </c>
      <c r="AU142" s="437">
        <v>0</v>
      </c>
      <c r="AV142" s="395">
        <v>0</v>
      </c>
      <c r="AW142" s="395">
        <v>0</v>
      </c>
      <c r="AX142" s="427">
        <v>0</v>
      </c>
    </row>
    <row r="143" spans="1:50" ht="17.399999999999999" customHeight="1" thickTop="1">
      <c r="A143" s="398">
        <v>3319</v>
      </c>
      <c r="B143" s="399" t="s">
        <v>656</v>
      </c>
      <c r="C143" s="399">
        <v>1</v>
      </c>
      <c r="D143" s="400">
        <v>12</v>
      </c>
      <c r="E143" s="401" t="s">
        <v>657</v>
      </c>
      <c r="F143" s="402" t="s">
        <v>679</v>
      </c>
      <c r="G143" s="428">
        <v>43409</v>
      </c>
      <c r="H143" s="370">
        <v>43409</v>
      </c>
      <c r="I143" s="391"/>
      <c r="J143" s="371">
        <v>1</v>
      </c>
      <c r="K143" s="371">
        <v>1.5</v>
      </c>
      <c r="L143" s="371">
        <f t="shared" si="4"/>
        <v>30</v>
      </c>
      <c r="M143" s="372">
        <f t="shared" si="5"/>
        <v>0.81081081081081086</v>
      </c>
      <c r="N143" s="371">
        <v>4</v>
      </c>
      <c r="O143" s="429">
        <v>43412</v>
      </c>
      <c r="P143" s="373"/>
      <c r="Q143" s="374">
        <v>1</v>
      </c>
      <c r="R143" s="373">
        <v>1</v>
      </c>
      <c r="S143" s="373">
        <v>1</v>
      </c>
      <c r="T143" s="373">
        <v>1</v>
      </c>
      <c r="U143" s="373">
        <v>1</v>
      </c>
      <c r="V143" s="375">
        <v>1</v>
      </c>
      <c r="W143" s="373">
        <v>1</v>
      </c>
      <c r="X143" s="373">
        <v>1</v>
      </c>
      <c r="Y143" s="373">
        <v>1</v>
      </c>
      <c r="Z143" s="373">
        <v>1</v>
      </c>
      <c r="AA143" s="373">
        <v>1</v>
      </c>
      <c r="AB143" s="373">
        <v>0</v>
      </c>
      <c r="AC143" s="373">
        <v>1</v>
      </c>
      <c r="AD143" s="373">
        <v>1</v>
      </c>
      <c r="AE143" s="373">
        <v>1</v>
      </c>
      <c r="AF143" s="374">
        <v>1</v>
      </c>
      <c r="AG143" s="373">
        <v>1</v>
      </c>
      <c r="AH143" s="373">
        <v>1</v>
      </c>
      <c r="AI143" s="375">
        <v>1</v>
      </c>
      <c r="AJ143" s="373">
        <v>1</v>
      </c>
      <c r="AK143" s="373">
        <v>1</v>
      </c>
      <c r="AL143" s="373">
        <v>1</v>
      </c>
      <c r="AM143" s="373">
        <v>1</v>
      </c>
      <c r="AN143" s="374">
        <v>1</v>
      </c>
      <c r="AO143" s="373">
        <v>1</v>
      </c>
      <c r="AP143" s="373">
        <v>1</v>
      </c>
      <c r="AQ143" s="375">
        <v>1</v>
      </c>
      <c r="AR143" s="374">
        <v>1</v>
      </c>
      <c r="AS143" s="373">
        <v>1</v>
      </c>
      <c r="AT143" s="373">
        <v>1</v>
      </c>
      <c r="AU143" s="375">
        <v>1</v>
      </c>
      <c r="AV143" s="373">
        <v>0</v>
      </c>
      <c r="AW143" s="373">
        <v>0</v>
      </c>
      <c r="AX143" s="376">
        <v>0</v>
      </c>
    </row>
    <row r="144" spans="1:50" ht="17.399999999999999" customHeight="1">
      <c r="A144" s="403">
        <v>3320</v>
      </c>
      <c r="B144" s="409" t="s">
        <v>656</v>
      </c>
      <c r="C144" s="409">
        <v>2</v>
      </c>
      <c r="D144" s="405">
        <v>12</v>
      </c>
      <c r="E144" s="410" t="s">
        <v>658</v>
      </c>
      <c r="F144" s="411" t="s">
        <v>14</v>
      </c>
      <c r="G144" s="430">
        <v>43409</v>
      </c>
      <c r="H144" s="377">
        <v>43409</v>
      </c>
      <c r="I144" s="383"/>
      <c r="J144" s="378">
        <v>1</v>
      </c>
      <c r="K144" s="378">
        <v>1.5</v>
      </c>
      <c r="L144" s="378">
        <f t="shared" ref="L144:L172" si="6">SUM(P144:AX144)</f>
        <v>33</v>
      </c>
      <c r="M144" s="408">
        <f t="shared" ref="M144:M172" si="7">L144/$L$2</f>
        <v>0.89189189189189189</v>
      </c>
      <c r="N144" s="378">
        <v>5</v>
      </c>
      <c r="O144" s="431">
        <v>43412</v>
      </c>
      <c r="P144" s="379"/>
      <c r="Q144" s="380">
        <v>1</v>
      </c>
      <c r="R144" s="379">
        <v>1</v>
      </c>
      <c r="S144" s="379">
        <v>1</v>
      </c>
      <c r="T144" s="379">
        <v>1</v>
      </c>
      <c r="U144" s="379">
        <v>1</v>
      </c>
      <c r="V144" s="381">
        <v>1</v>
      </c>
      <c r="W144" s="379">
        <v>1</v>
      </c>
      <c r="X144" s="379">
        <v>1</v>
      </c>
      <c r="Y144" s="379">
        <v>1</v>
      </c>
      <c r="Z144" s="379">
        <v>1</v>
      </c>
      <c r="AA144" s="379">
        <v>1</v>
      </c>
      <c r="AB144" s="379">
        <v>1</v>
      </c>
      <c r="AC144" s="379">
        <v>1</v>
      </c>
      <c r="AD144" s="379">
        <v>1</v>
      </c>
      <c r="AE144" s="379">
        <v>1</v>
      </c>
      <c r="AF144" s="380">
        <v>1</v>
      </c>
      <c r="AG144" s="379">
        <v>1</v>
      </c>
      <c r="AH144" s="379">
        <v>1</v>
      </c>
      <c r="AI144" s="381">
        <v>1</v>
      </c>
      <c r="AJ144" s="379">
        <v>1</v>
      </c>
      <c r="AK144" s="379">
        <v>1</v>
      </c>
      <c r="AL144" s="379">
        <v>1</v>
      </c>
      <c r="AM144" s="379">
        <v>1</v>
      </c>
      <c r="AN144" s="380">
        <v>1</v>
      </c>
      <c r="AO144" s="379">
        <v>1</v>
      </c>
      <c r="AP144" s="379">
        <v>1</v>
      </c>
      <c r="AQ144" s="381">
        <v>1</v>
      </c>
      <c r="AR144" s="380">
        <v>1</v>
      </c>
      <c r="AS144" s="379">
        <v>1</v>
      </c>
      <c r="AT144" s="379">
        <v>1</v>
      </c>
      <c r="AU144" s="381">
        <v>1</v>
      </c>
      <c r="AV144" s="379">
        <v>2</v>
      </c>
      <c r="AW144" s="379">
        <v>0</v>
      </c>
      <c r="AX144" s="382">
        <v>0</v>
      </c>
    </row>
    <row r="145" spans="1:50" ht="17.399999999999999" customHeight="1">
      <c r="A145" s="403">
        <v>3321</v>
      </c>
      <c r="B145" s="409" t="s">
        <v>656</v>
      </c>
      <c r="C145" s="409">
        <v>3</v>
      </c>
      <c r="D145" s="405">
        <v>12</v>
      </c>
      <c r="E145" s="410" t="s">
        <v>659</v>
      </c>
      <c r="F145" s="413" t="s">
        <v>18</v>
      </c>
      <c r="G145" s="430">
        <v>43437</v>
      </c>
      <c r="H145" s="377">
        <v>43437</v>
      </c>
      <c r="I145" s="383"/>
      <c r="J145" s="378">
        <v>1</v>
      </c>
      <c r="K145" s="378">
        <v>1.5</v>
      </c>
      <c r="L145" s="378">
        <f t="shared" si="6"/>
        <v>21</v>
      </c>
      <c r="M145" s="408">
        <f t="shared" si="7"/>
        <v>0.56756756756756754</v>
      </c>
      <c r="N145" s="378">
        <v>3</v>
      </c>
      <c r="O145" s="431">
        <v>43437</v>
      </c>
      <c r="P145" s="379"/>
      <c r="Q145" s="380">
        <v>1</v>
      </c>
      <c r="R145" s="379">
        <v>1</v>
      </c>
      <c r="S145" s="379">
        <v>1</v>
      </c>
      <c r="T145" s="379">
        <v>1</v>
      </c>
      <c r="U145" s="379">
        <v>1</v>
      </c>
      <c r="V145" s="381">
        <v>0</v>
      </c>
      <c r="W145" s="379">
        <v>1</v>
      </c>
      <c r="X145" s="379">
        <v>1</v>
      </c>
      <c r="Y145" s="379">
        <v>0</v>
      </c>
      <c r="Z145" s="379">
        <v>0</v>
      </c>
      <c r="AA145" s="379">
        <v>0</v>
      </c>
      <c r="AB145" s="379">
        <v>1</v>
      </c>
      <c r="AC145" s="379">
        <v>0</v>
      </c>
      <c r="AD145" s="379">
        <v>1</v>
      </c>
      <c r="AE145" s="379">
        <v>0</v>
      </c>
      <c r="AF145" s="380">
        <v>0</v>
      </c>
      <c r="AG145" s="379">
        <v>0</v>
      </c>
      <c r="AH145" s="379">
        <v>0</v>
      </c>
      <c r="AI145" s="381">
        <v>0</v>
      </c>
      <c r="AJ145" s="379">
        <v>1</v>
      </c>
      <c r="AK145" s="379">
        <v>1</v>
      </c>
      <c r="AL145" s="379">
        <v>1</v>
      </c>
      <c r="AM145" s="379">
        <v>1</v>
      </c>
      <c r="AN145" s="380">
        <v>1</v>
      </c>
      <c r="AO145" s="379">
        <v>0</v>
      </c>
      <c r="AP145" s="379">
        <v>1</v>
      </c>
      <c r="AQ145" s="381">
        <v>1</v>
      </c>
      <c r="AR145" s="380">
        <v>1</v>
      </c>
      <c r="AS145" s="379">
        <v>1</v>
      </c>
      <c r="AT145" s="379">
        <v>0</v>
      </c>
      <c r="AU145" s="381">
        <v>1</v>
      </c>
      <c r="AV145" s="379">
        <v>0</v>
      </c>
      <c r="AW145" s="379">
        <v>0</v>
      </c>
      <c r="AX145" s="382">
        <v>2</v>
      </c>
    </row>
    <row r="146" spans="1:50" ht="17.399999999999999" customHeight="1">
      <c r="A146" s="403">
        <v>3323</v>
      </c>
      <c r="B146" s="409" t="s">
        <v>656</v>
      </c>
      <c r="C146" s="409">
        <v>4</v>
      </c>
      <c r="D146" s="405">
        <v>12</v>
      </c>
      <c r="E146" s="410" t="s">
        <v>660</v>
      </c>
      <c r="F146" s="411" t="s">
        <v>12</v>
      </c>
      <c r="G146" s="430">
        <v>43409</v>
      </c>
      <c r="H146" s="377">
        <v>43409</v>
      </c>
      <c r="I146" s="383"/>
      <c r="J146" s="378">
        <v>1</v>
      </c>
      <c r="K146" s="378">
        <v>1.5</v>
      </c>
      <c r="L146" s="378">
        <f t="shared" si="6"/>
        <v>35</v>
      </c>
      <c r="M146" s="408">
        <f t="shared" si="7"/>
        <v>0.94594594594594594</v>
      </c>
      <c r="N146" s="378">
        <v>5</v>
      </c>
      <c r="O146" s="431">
        <v>43412</v>
      </c>
      <c r="P146" s="379"/>
      <c r="Q146" s="380">
        <v>1</v>
      </c>
      <c r="R146" s="379">
        <v>1</v>
      </c>
      <c r="S146" s="379">
        <v>1</v>
      </c>
      <c r="T146" s="379">
        <v>1</v>
      </c>
      <c r="U146" s="379">
        <v>1</v>
      </c>
      <c r="V146" s="381">
        <v>1</v>
      </c>
      <c r="W146" s="379">
        <v>1</v>
      </c>
      <c r="X146" s="379">
        <v>1</v>
      </c>
      <c r="Y146" s="379">
        <v>0</v>
      </c>
      <c r="Z146" s="379">
        <v>1</v>
      </c>
      <c r="AA146" s="379">
        <v>1</v>
      </c>
      <c r="AB146" s="379">
        <v>1</v>
      </c>
      <c r="AC146" s="379">
        <v>1</v>
      </c>
      <c r="AD146" s="379">
        <v>1</v>
      </c>
      <c r="AE146" s="379">
        <v>1</v>
      </c>
      <c r="AF146" s="380">
        <v>1</v>
      </c>
      <c r="AG146" s="379">
        <v>1</v>
      </c>
      <c r="AH146" s="379">
        <v>1</v>
      </c>
      <c r="AI146" s="381">
        <v>1</v>
      </c>
      <c r="AJ146" s="379">
        <v>1</v>
      </c>
      <c r="AK146" s="379">
        <v>1</v>
      </c>
      <c r="AL146" s="379">
        <v>1</v>
      </c>
      <c r="AM146" s="379">
        <v>1</v>
      </c>
      <c r="AN146" s="380">
        <v>1</v>
      </c>
      <c r="AO146" s="379">
        <v>1</v>
      </c>
      <c r="AP146" s="379">
        <v>1</v>
      </c>
      <c r="AQ146" s="381">
        <v>1</v>
      </c>
      <c r="AR146" s="380">
        <v>1</v>
      </c>
      <c r="AS146" s="379">
        <v>1</v>
      </c>
      <c r="AT146" s="379">
        <v>1</v>
      </c>
      <c r="AU146" s="381">
        <v>1</v>
      </c>
      <c r="AV146" s="379">
        <v>1</v>
      </c>
      <c r="AW146" s="379">
        <v>1</v>
      </c>
      <c r="AX146" s="382">
        <v>3</v>
      </c>
    </row>
    <row r="147" spans="1:50" ht="17.399999999999999" customHeight="1">
      <c r="A147" s="403">
        <v>3325</v>
      </c>
      <c r="B147" s="409" t="s">
        <v>656</v>
      </c>
      <c r="C147" s="409">
        <v>5</v>
      </c>
      <c r="D147" s="405">
        <v>8</v>
      </c>
      <c r="E147" s="410" t="s">
        <v>661</v>
      </c>
      <c r="F147" s="411" t="s">
        <v>695</v>
      </c>
      <c r="G147" s="430">
        <v>43409</v>
      </c>
      <c r="H147" s="377">
        <v>43409</v>
      </c>
      <c r="I147" s="383"/>
      <c r="J147" s="378">
        <v>1</v>
      </c>
      <c r="K147" s="378">
        <v>1.5</v>
      </c>
      <c r="L147" s="378">
        <f t="shared" si="6"/>
        <v>28</v>
      </c>
      <c r="M147" s="408">
        <f t="shared" si="7"/>
        <v>0.7567567567567568</v>
      </c>
      <c r="N147" s="378">
        <v>4</v>
      </c>
      <c r="O147" s="431">
        <v>43411</v>
      </c>
      <c r="P147" s="379"/>
      <c r="Q147" s="380">
        <v>1</v>
      </c>
      <c r="R147" s="379">
        <v>1</v>
      </c>
      <c r="S147" s="379">
        <v>1</v>
      </c>
      <c r="T147" s="379">
        <v>1</v>
      </c>
      <c r="U147" s="379">
        <v>0</v>
      </c>
      <c r="V147" s="381">
        <v>0</v>
      </c>
      <c r="W147" s="379">
        <v>1</v>
      </c>
      <c r="X147" s="379">
        <v>1</v>
      </c>
      <c r="Y147" s="379">
        <v>1</v>
      </c>
      <c r="Z147" s="379">
        <v>0</v>
      </c>
      <c r="AA147" s="379">
        <v>1</v>
      </c>
      <c r="AB147" s="379">
        <v>1</v>
      </c>
      <c r="AC147" s="379">
        <v>1</v>
      </c>
      <c r="AD147" s="379">
        <v>1</v>
      </c>
      <c r="AE147" s="379">
        <v>0</v>
      </c>
      <c r="AF147" s="380">
        <v>1</v>
      </c>
      <c r="AG147" s="379">
        <v>1</v>
      </c>
      <c r="AH147" s="379">
        <v>1</v>
      </c>
      <c r="AI147" s="381">
        <v>1</v>
      </c>
      <c r="AJ147" s="379">
        <v>1</v>
      </c>
      <c r="AK147" s="379">
        <v>1</v>
      </c>
      <c r="AL147" s="379">
        <v>0</v>
      </c>
      <c r="AM147" s="379">
        <v>1</v>
      </c>
      <c r="AN147" s="380">
        <v>1</v>
      </c>
      <c r="AO147" s="379">
        <v>1</v>
      </c>
      <c r="AP147" s="379">
        <v>1</v>
      </c>
      <c r="AQ147" s="381">
        <v>1</v>
      </c>
      <c r="AR147" s="380">
        <v>0</v>
      </c>
      <c r="AS147" s="379">
        <v>1</v>
      </c>
      <c r="AT147" s="379">
        <v>0</v>
      </c>
      <c r="AU147" s="381">
        <v>1</v>
      </c>
      <c r="AV147" s="379">
        <v>2</v>
      </c>
      <c r="AW147" s="379">
        <v>1</v>
      </c>
      <c r="AX147" s="382">
        <v>1</v>
      </c>
    </row>
    <row r="148" spans="1:50" ht="17.399999999999999" customHeight="1">
      <c r="A148" s="403">
        <v>3326</v>
      </c>
      <c r="B148" s="409" t="s">
        <v>656</v>
      </c>
      <c r="C148" s="409">
        <v>6</v>
      </c>
      <c r="D148" s="405">
        <v>12</v>
      </c>
      <c r="E148" s="412" t="s">
        <v>575</v>
      </c>
      <c r="F148" s="413" t="s">
        <v>65</v>
      </c>
      <c r="G148" s="430">
        <v>43409</v>
      </c>
      <c r="H148" s="377">
        <v>43409</v>
      </c>
      <c r="I148" s="383" t="s">
        <v>697</v>
      </c>
      <c r="J148" s="378">
        <v>1</v>
      </c>
      <c r="K148" s="378">
        <v>1.5</v>
      </c>
      <c r="L148" s="378">
        <f t="shared" si="6"/>
        <v>27</v>
      </c>
      <c r="M148" s="408">
        <f t="shared" si="7"/>
        <v>0.72972972972972971</v>
      </c>
      <c r="N148" s="378" t="s">
        <v>30</v>
      </c>
      <c r="O148" s="431">
        <v>43412</v>
      </c>
      <c r="P148" s="379">
        <v>-3</v>
      </c>
      <c r="Q148" s="380">
        <v>1</v>
      </c>
      <c r="R148" s="379">
        <v>1</v>
      </c>
      <c r="S148" s="379">
        <v>1</v>
      </c>
      <c r="T148" s="379">
        <v>1</v>
      </c>
      <c r="U148" s="379">
        <v>1</v>
      </c>
      <c r="V148" s="381">
        <v>0</v>
      </c>
      <c r="W148" s="379">
        <v>1</v>
      </c>
      <c r="X148" s="379">
        <v>1</v>
      </c>
      <c r="Y148" s="379">
        <v>1</v>
      </c>
      <c r="Z148" s="379">
        <v>1</v>
      </c>
      <c r="AA148" s="379">
        <v>1</v>
      </c>
      <c r="AB148" s="379">
        <v>1</v>
      </c>
      <c r="AC148" s="379">
        <v>0</v>
      </c>
      <c r="AD148" s="379">
        <v>1</v>
      </c>
      <c r="AE148" s="379">
        <v>1</v>
      </c>
      <c r="AF148" s="380">
        <v>1</v>
      </c>
      <c r="AG148" s="379">
        <v>0</v>
      </c>
      <c r="AH148" s="379">
        <v>1</v>
      </c>
      <c r="AI148" s="381">
        <v>1</v>
      </c>
      <c r="AJ148" s="379">
        <v>1</v>
      </c>
      <c r="AK148" s="379">
        <v>1</v>
      </c>
      <c r="AL148" s="379">
        <v>1</v>
      </c>
      <c r="AM148" s="379">
        <v>1</v>
      </c>
      <c r="AN148" s="380">
        <v>1</v>
      </c>
      <c r="AO148" s="379">
        <v>1</v>
      </c>
      <c r="AP148" s="379">
        <v>1</v>
      </c>
      <c r="AQ148" s="381">
        <v>1</v>
      </c>
      <c r="AR148" s="380">
        <v>1</v>
      </c>
      <c r="AS148" s="379">
        <v>1</v>
      </c>
      <c r="AT148" s="379">
        <v>0</v>
      </c>
      <c r="AU148" s="381">
        <v>0</v>
      </c>
      <c r="AV148" s="379">
        <v>2</v>
      </c>
      <c r="AW148" s="379">
        <v>1</v>
      </c>
      <c r="AX148" s="382">
        <v>1</v>
      </c>
    </row>
    <row r="149" spans="1:50" ht="17.399999999999999" customHeight="1">
      <c r="A149" s="403">
        <v>3327</v>
      </c>
      <c r="B149" s="409" t="s">
        <v>656</v>
      </c>
      <c r="C149" s="409">
        <v>7</v>
      </c>
      <c r="D149" s="405">
        <v>12</v>
      </c>
      <c r="E149" s="412" t="s">
        <v>662</v>
      </c>
      <c r="F149" s="413" t="s">
        <v>48</v>
      </c>
      <c r="G149" s="430">
        <v>43409</v>
      </c>
      <c r="H149" s="377">
        <v>43409</v>
      </c>
      <c r="I149" s="383" t="s">
        <v>703</v>
      </c>
      <c r="J149" s="378">
        <v>1</v>
      </c>
      <c r="K149" s="378">
        <v>1.5</v>
      </c>
      <c r="L149" s="378">
        <f t="shared" si="6"/>
        <v>0</v>
      </c>
      <c r="M149" s="408">
        <f t="shared" si="7"/>
        <v>0</v>
      </c>
      <c r="N149" s="378">
        <v>1</v>
      </c>
      <c r="O149" s="431">
        <v>43440</v>
      </c>
      <c r="P149" s="379"/>
      <c r="Q149" s="380"/>
      <c r="R149" s="379"/>
      <c r="S149" s="379"/>
      <c r="T149" s="379"/>
      <c r="U149" s="379"/>
      <c r="V149" s="381"/>
      <c r="W149" s="379"/>
      <c r="X149" s="379"/>
      <c r="Y149" s="379"/>
      <c r="Z149" s="379"/>
      <c r="AA149" s="379"/>
      <c r="AB149" s="379"/>
      <c r="AC149" s="379"/>
      <c r="AD149" s="379"/>
      <c r="AE149" s="379"/>
      <c r="AF149" s="380"/>
      <c r="AG149" s="379"/>
      <c r="AH149" s="379"/>
      <c r="AI149" s="381"/>
      <c r="AJ149" s="379"/>
      <c r="AK149" s="379"/>
      <c r="AL149" s="379"/>
      <c r="AM149" s="379"/>
      <c r="AN149" s="380"/>
      <c r="AO149" s="379"/>
      <c r="AP149" s="379"/>
      <c r="AQ149" s="381"/>
      <c r="AR149" s="380"/>
      <c r="AS149" s="379"/>
      <c r="AT149" s="379"/>
      <c r="AU149" s="381"/>
      <c r="AV149" s="379"/>
      <c r="AW149" s="379"/>
      <c r="AX149" s="382"/>
    </row>
    <row r="150" spans="1:50" ht="17.399999999999999" customHeight="1">
      <c r="A150" s="403">
        <v>3328</v>
      </c>
      <c r="B150" s="409" t="s">
        <v>656</v>
      </c>
      <c r="C150" s="409">
        <v>8</v>
      </c>
      <c r="D150" s="405">
        <v>12</v>
      </c>
      <c r="E150" s="410" t="s">
        <v>156</v>
      </c>
      <c r="F150" s="411" t="s">
        <v>14</v>
      </c>
      <c r="G150" s="430">
        <v>43409</v>
      </c>
      <c r="H150" s="377">
        <v>43409</v>
      </c>
      <c r="I150" s="383"/>
      <c r="J150" s="378">
        <v>1</v>
      </c>
      <c r="K150" s="378">
        <v>1.5</v>
      </c>
      <c r="L150" s="378">
        <f t="shared" si="6"/>
        <v>28</v>
      </c>
      <c r="M150" s="408">
        <f t="shared" si="7"/>
        <v>0.7567567567567568</v>
      </c>
      <c r="N150" s="378">
        <v>4</v>
      </c>
      <c r="O150" s="431">
        <v>43412</v>
      </c>
      <c r="P150" s="379">
        <v>-1</v>
      </c>
      <c r="Q150" s="380">
        <v>1</v>
      </c>
      <c r="R150" s="379">
        <v>1</v>
      </c>
      <c r="S150" s="379">
        <v>1</v>
      </c>
      <c r="T150" s="379">
        <v>1</v>
      </c>
      <c r="U150" s="379">
        <v>1</v>
      </c>
      <c r="V150" s="381">
        <v>0</v>
      </c>
      <c r="W150" s="379">
        <v>1</v>
      </c>
      <c r="X150" s="379">
        <v>1</v>
      </c>
      <c r="Y150" s="379">
        <v>1</v>
      </c>
      <c r="Z150" s="379">
        <v>1</v>
      </c>
      <c r="AA150" s="379">
        <v>1</v>
      </c>
      <c r="AB150" s="379">
        <v>1</v>
      </c>
      <c r="AC150" s="379">
        <v>0</v>
      </c>
      <c r="AD150" s="379">
        <v>1</v>
      </c>
      <c r="AE150" s="379">
        <v>1</v>
      </c>
      <c r="AF150" s="380">
        <v>1</v>
      </c>
      <c r="AG150" s="379">
        <v>1</v>
      </c>
      <c r="AH150" s="379">
        <v>1</v>
      </c>
      <c r="AI150" s="381">
        <v>1</v>
      </c>
      <c r="AJ150" s="379">
        <v>1</v>
      </c>
      <c r="AK150" s="379">
        <v>1</v>
      </c>
      <c r="AL150" s="379">
        <v>1</v>
      </c>
      <c r="AM150" s="379">
        <v>1</v>
      </c>
      <c r="AN150" s="380">
        <v>1</v>
      </c>
      <c r="AO150" s="379">
        <v>1</v>
      </c>
      <c r="AP150" s="379">
        <v>1</v>
      </c>
      <c r="AQ150" s="381">
        <v>1</v>
      </c>
      <c r="AR150" s="380">
        <v>1</v>
      </c>
      <c r="AS150" s="379">
        <v>1</v>
      </c>
      <c r="AT150" s="379">
        <v>0</v>
      </c>
      <c r="AU150" s="447">
        <v>1</v>
      </c>
      <c r="AV150" s="379">
        <v>0</v>
      </c>
      <c r="AW150" s="379">
        <v>0</v>
      </c>
      <c r="AX150" s="382">
        <v>1</v>
      </c>
    </row>
    <row r="151" spans="1:50" ht="17.399999999999999" customHeight="1">
      <c r="A151" s="403">
        <v>3329</v>
      </c>
      <c r="B151" s="409" t="s">
        <v>656</v>
      </c>
      <c r="C151" s="409">
        <v>9</v>
      </c>
      <c r="D151" s="405">
        <v>11</v>
      </c>
      <c r="E151" s="410" t="s">
        <v>663</v>
      </c>
      <c r="F151" s="411" t="s">
        <v>14</v>
      </c>
      <c r="G151" s="430">
        <v>43420</v>
      </c>
      <c r="H151" s="377">
        <v>43420</v>
      </c>
      <c r="I151" s="383"/>
      <c r="J151" s="378">
        <v>1</v>
      </c>
      <c r="K151" s="378">
        <v>0.25</v>
      </c>
      <c r="L151" s="378">
        <f t="shared" si="6"/>
        <v>21</v>
      </c>
      <c r="M151" s="408">
        <f t="shared" si="7"/>
        <v>0.56756756756756754</v>
      </c>
      <c r="N151" s="378">
        <v>3</v>
      </c>
      <c r="O151" s="431">
        <v>43420</v>
      </c>
      <c r="P151" s="379"/>
      <c r="Q151" s="380">
        <v>1</v>
      </c>
      <c r="R151" s="379">
        <v>1</v>
      </c>
      <c r="S151" s="379">
        <v>1</v>
      </c>
      <c r="T151" s="379">
        <v>1</v>
      </c>
      <c r="U151" s="379">
        <v>0</v>
      </c>
      <c r="V151" s="381">
        <v>0</v>
      </c>
      <c r="W151" s="379">
        <v>1</v>
      </c>
      <c r="X151" s="379">
        <v>1</v>
      </c>
      <c r="Y151" s="379">
        <v>0</v>
      </c>
      <c r="Z151" s="379">
        <v>1</v>
      </c>
      <c r="AA151" s="379">
        <v>1</v>
      </c>
      <c r="AB151" s="379">
        <v>1</v>
      </c>
      <c r="AC151" s="379">
        <v>0</v>
      </c>
      <c r="AD151" s="379">
        <v>1</v>
      </c>
      <c r="AE151" s="379">
        <v>0</v>
      </c>
      <c r="AF151" s="380">
        <v>1</v>
      </c>
      <c r="AG151" s="379">
        <v>1</v>
      </c>
      <c r="AH151" s="379">
        <v>1</v>
      </c>
      <c r="AI151" s="381">
        <v>1</v>
      </c>
      <c r="AJ151" s="379">
        <v>1</v>
      </c>
      <c r="AK151" s="379">
        <v>1</v>
      </c>
      <c r="AL151" s="379">
        <v>1</v>
      </c>
      <c r="AM151" s="379">
        <v>1</v>
      </c>
      <c r="AN151" s="380">
        <v>0</v>
      </c>
      <c r="AO151" s="379">
        <v>1</v>
      </c>
      <c r="AP151" s="379">
        <v>1</v>
      </c>
      <c r="AQ151" s="381">
        <v>0</v>
      </c>
      <c r="AR151" s="380">
        <v>0</v>
      </c>
      <c r="AS151" s="379">
        <v>0</v>
      </c>
      <c r="AT151" s="379">
        <v>0</v>
      </c>
      <c r="AU151" s="381">
        <v>0</v>
      </c>
      <c r="AV151" s="379">
        <v>0</v>
      </c>
      <c r="AW151" s="379">
        <v>0</v>
      </c>
      <c r="AX151" s="382">
        <v>1</v>
      </c>
    </row>
    <row r="152" spans="1:50" ht="17.399999999999999" customHeight="1">
      <c r="A152" s="457">
        <v>3329</v>
      </c>
      <c r="B152" s="471" t="s">
        <v>656</v>
      </c>
      <c r="C152" s="471">
        <v>9</v>
      </c>
      <c r="D152" s="459">
        <v>11</v>
      </c>
      <c r="E152" s="472" t="s">
        <v>663</v>
      </c>
      <c r="F152" s="473" t="s">
        <v>14</v>
      </c>
      <c r="G152" s="462"/>
      <c r="H152" s="463">
        <v>43451</v>
      </c>
      <c r="I152" s="463"/>
      <c r="J152" s="464">
        <v>2</v>
      </c>
      <c r="K152" s="464">
        <v>1.25</v>
      </c>
      <c r="L152" s="464">
        <f t="shared" si="6"/>
        <v>29</v>
      </c>
      <c r="M152" s="465">
        <f t="shared" si="7"/>
        <v>0.78378378378378377</v>
      </c>
      <c r="N152" s="464">
        <v>4</v>
      </c>
      <c r="O152" s="466">
        <v>43453</v>
      </c>
      <c r="P152" s="467"/>
      <c r="Q152" s="468">
        <v>1</v>
      </c>
      <c r="R152" s="467">
        <v>1</v>
      </c>
      <c r="S152" s="467">
        <v>1</v>
      </c>
      <c r="T152" s="467">
        <v>1</v>
      </c>
      <c r="U152" s="467">
        <v>1</v>
      </c>
      <c r="V152" s="469">
        <v>1</v>
      </c>
      <c r="W152" s="467">
        <v>1</v>
      </c>
      <c r="X152" s="467">
        <v>1</v>
      </c>
      <c r="Y152" s="467">
        <v>1</v>
      </c>
      <c r="Z152" s="467">
        <v>1</v>
      </c>
      <c r="AA152" s="467">
        <v>1</v>
      </c>
      <c r="AB152" s="467">
        <v>1</v>
      </c>
      <c r="AC152" s="467">
        <v>0</v>
      </c>
      <c r="AD152" s="467">
        <v>1</v>
      </c>
      <c r="AE152" s="467">
        <v>1</v>
      </c>
      <c r="AF152" s="468">
        <v>1</v>
      </c>
      <c r="AG152" s="467">
        <v>1</v>
      </c>
      <c r="AH152" s="467">
        <v>1</v>
      </c>
      <c r="AI152" s="469">
        <v>1</v>
      </c>
      <c r="AJ152" s="467">
        <v>1</v>
      </c>
      <c r="AK152" s="467">
        <v>1</v>
      </c>
      <c r="AL152" s="467">
        <v>0</v>
      </c>
      <c r="AM152" s="467">
        <v>1</v>
      </c>
      <c r="AN152" s="468">
        <v>1</v>
      </c>
      <c r="AO152" s="467">
        <v>1</v>
      </c>
      <c r="AP152" s="467">
        <v>1</v>
      </c>
      <c r="AQ152" s="469">
        <v>0</v>
      </c>
      <c r="AR152" s="468">
        <v>1</v>
      </c>
      <c r="AS152" s="467">
        <v>1</v>
      </c>
      <c r="AT152" s="467">
        <v>0</v>
      </c>
      <c r="AU152" s="469">
        <v>1</v>
      </c>
      <c r="AV152" s="467">
        <v>2</v>
      </c>
      <c r="AW152" s="467">
        <v>0</v>
      </c>
      <c r="AX152" s="470">
        <v>0</v>
      </c>
    </row>
    <row r="153" spans="1:50" ht="17.399999999999999" customHeight="1">
      <c r="A153" s="403">
        <v>3249</v>
      </c>
      <c r="B153" s="409" t="s">
        <v>656</v>
      </c>
      <c r="C153" s="409">
        <v>10</v>
      </c>
      <c r="D153" s="405">
        <v>12</v>
      </c>
      <c r="E153" s="410" t="s">
        <v>664</v>
      </c>
      <c r="F153" s="411" t="s">
        <v>128</v>
      </c>
      <c r="G153" s="430">
        <v>43409</v>
      </c>
      <c r="H153" s="377">
        <v>43409</v>
      </c>
      <c r="I153" s="377" t="s">
        <v>697</v>
      </c>
      <c r="J153" s="378">
        <v>1</v>
      </c>
      <c r="K153" s="378">
        <v>1.5</v>
      </c>
      <c r="L153" s="378">
        <f t="shared" si="6"/>
        <v>16</v>
      </c>
      <c r="M153" s="408">
        <f t="shared" si="7"/>
        <v>0.43243243243243246</v>
      </c>
      <c r="N153" s="378">
        <v>2</v>
      </c>
      <c r="O153" s="431">
        <v>43412</v>
      </c>
      <c r="P153" s="379">
        <v>-3</v>
      </c>
      <c r="Q153" s="380">
        <v>1</v>
      </c>
      <c r="R153" s="379">
        <v>1</v>
      </c>
      <c r="S153" s="379">
        <v>1</v>
      </c>
      <c r="T153" s="379">
        <v>0</v>
      </c>
      <c r="U153" s="379">
        <v>1</v>
      </c>
      <c r="V153" s="381">
        <v>0</v>
      </c>
      <c r="W153" s="379">
        <v>0</v>
      </c>
      <c r="X153" s="379">
        <v>1</v>
      </c>
      <c r="Y153" s="379">
        <v>0</v>
      </c>
      <c r="Z153" s="379">
        <v>1</v>
      </c>
      <c r="AA153" s="379">
        <v>1</v>
      </c>
      <c r="AB153" s="379">
        <v>1</v>
      </c>
      <c r="AC153" s="379">
        <v>0</v>
      </c>
      <c r="AD153" s="379">
        <v>1</v>
      </c>
      <c r="AE153" s="379">
        <v>1</v>
      </c>
      <c r="AF153" s="380">
        <v>1</v>
      </c>
      <c r="AG153" s="379">
        <v>1</v>
      </c>
      <c r="AH153" s="379">
        <v>1</v>
      </c>
      <c r="AI153" s="381">
        <v>1</v>
      </c>
      <c r="AJ153" s="379">
        <v>1</v>
      </c>
      <c r="AK153" s="379">
        <v>1</v>
      </c>
      <c r="AL153" s="379">
        <v>1</v>
      </c>
      <c r="AM153" s="379">
        <v>0</v>
      </c>
      <c r="AN153" s="380">
        <v>0</v>
      </c>
      <c r="AO153" s="379">
        <v>0</v>
      </c>
      <c r="AP153" s="379">
        <v>1</v>
      </c>
      <c r="AQ153" s="381">
        <v>1</v>
      </c>
      <c r="AR153" s="380">
        <v>0</v>
      </c>
      <c r="AS153" s="379">
        <v>0</v>
      </c>
      <c r="AT153" s="379">
        <v>0</v>
      </c>
      <c r="AU153" s="381">
        <v>0</v>
      </c>
      <c r="AV153" s="379">
        <v>0</v>
      </c>
      <c r="AW153" s="379">
        <v>0</v>
      </c>
      <c r="AX153" s="382">
        <v>0</v>
      </c>
    </row>
    <row r="154" spans="1:50" ht="17.399999999999999" customHeight="1">
      <c r="A154" s="403">
        <v>3330</v>
      </c>
      <c r="B154" s="409" t="s">
        <v>656</v>
      </c>
      <c r="C154" s="409">
        <v>11</v>
      </c>
      <c r="D154" s="405">
        <v>11</v>
      </c>
      <c r="E154" s="410" t="s">
        <v>665</v>
      </c>
      <c r="F154" s="411" t="s">
        <v>19</v>
      </c>
      <c r="G154" s="430">
        <v>43420</v>
      </c>
      <c r="H154" s="377">
        <v>43420</v>
      </c>
      <c r="I154" s="377"/>
      <c r="J154" s="378">
        <v>1</v>
      </c>
      <c r="K154" s="378">
        <v>0.25</v>
      </c>
      <c r="L154" s="378">
        <f t="shared" si="6"/>
        <v>24</v>
      </c>
      <c r="M154" s="408">
        <f t="shared" si="7"/>
        <v>0.64864864864864868</v>
      </c>
      <c r="N154" s="378">
        <v>3</v>
      </c>
      <c r="O154" s="431">
        <v>43430</v>
      </c>
      <c r="P154" s="379">
        <v>-1</v>
      </c>
      <c r="Q154" s="380">
        <v>1</v>
      </c>
      <c r="R154" s="379">
        <v>1</v>
      </c>
      <c r="S154" s="379">
        <v>1</v>
      </c>
      <c r="T154" s="379">
        <v>1</v>
      </c>
      <c r="U154" s="379">
        <v>0</v>
      </c>
      <c r="V154" s="381">
        <v>0</v>
      </c>
      <c r="W154" s="379">
        <v>1</v>
      </c>
      <c r="X154" s="379">
        <v>1</v>
      </c>
      <c r="Y154" s="379">
        <v>0</v>
      </c>
      <c r="Z154" s="379">
        <v>0</v>
      </c>
      <c r="AA154" s="379">
        <v>0</v>
      </c>
      <c r="AB154" s="379">
        <v>1</v>
      </c>
      <c r="AC154" s="443">
        <v>0</v>
      </c>
      <c r="AD154" s="379">
        <v>1</v>
      </c>
      <c r="AE154" s="379">
        <v>1</v>
      </c>
      <c r="AF154" s="380">
        <v>0</v>
      </c>
      <c r="AG154" s="379">
        <v>0</v>
      </c>
      <c r="AH154" s="379">
        <v>0</v>
      </c>
      <c r="AI154" s="381">
        <v>0</v>
      </c>
      <c r="AJ154" s="379">
        <v>1</v>
      </c>
      <c r="AK154" s="379">
        <v>1</v>
      </c>
      <c r="AL154" s="379">
        <v>1</v>
      </c>
      <c r="AM154" s="379">
        <v>1</v>
      </c>
      <c r="AN154" s="380">
        <v>1</v>
      </c>
      <c r="AO154" s="379">
        <v>1</v>
      </c>
      <c r="AP154" s="379">
        <v>1</v>
      </c>
      <c r="AQ154" s="381">
        <v>1</v>
      </c>
      <c r="AR154" s="380">
        <v>1</v>
      </c>
      <c r="AS154" s="379">
        <v>1</v>
      </c>
      <c r="AT154" s="379">
        <v>0</v>
      </c>
      <c r="AU154" s="381">
        <v>1</v>
      </c>
      <c r="AV154" s="379">
        <v>2</v>
      </c>
      <c r="AW154" s="379">
        <v>0</v>
      </c>
      <c r="AX154" s="382">
        <v>3</v>
      </c>
    </row>
    <row r="155" spans="1:50" ht="17.399999999999999" customHeight="1">
      <c r="A155" s="457">
        <v>3330</v>
      </c>
      <c r="B155" s="471" t="s">
        <v>656</v>
      </c>
      <c r="C155" s="471">
        <v>11</v>
      </c>
      <c r="D155" s="459">
        <v>11</v>
      </c>
      <c r="E155" s="472" t="s">
        <v>665</v>
      </c>
      <c r="F155" s="473" t="s">
        <v>19</v>
      </c>
      <c r="G155" s="462"/>
      <c r="H155" s="463">
        <v>43448</v>
      </c>
      <c r="I155" s="463"/>
      <c r="J155" s="464">
        <v>2</v>
      </c>
      <c r="K155" s="464">
        <v>1.25</v>
      </c>
      <c r="L155" s="464">
        <f t="shared" si="6"/>
        <v>31</v>
      </c>
      <c r="M155" s="465">
        <f t="shared" si="7"/>
        <v>0.83783783783783783</v>
      </c>
      <c r="N155" s="464" t="s">
        <v>34</v>
      </c>
      <c r="O155" s="466">
        <v>43453</v>
      </c>
      <c r="P155" s="467">
        <v>-2</v>
      </c>
      <c r="Q155" s="468">
        <v>1</v>
      </c>
      <c r="R155" s="467">
        <v>1</v>
      </c>
      <c r="S155" s="467">
        <v>1</v>
      </c>
      <c r="T155" s="467">
        <v>1</v>
      </c>
      <c r="U155" s="467">
        <v>1</v>
      </c>
      <c r="V155" s="469">
        <v>1</v>
      </c>
      <c r="W155" s="467">
        <v>1</v>
      </c>
      <c r="X155" s="467">
        <v>1</v>
      </c>
      <c r="Y155" s="467">
        <v>1</v>
      </c>
      <c r="Z155" s="467">
        <v>1</v>
      </c>
      <c r="AA155" s="467">
        <v>0</v>
      </c>
      <c r="AB155" s="467">
        <v>1</v>
      </c>
      <c r="AC155" s="474">
        <v>1</v>
      </c>
      <c r="AD155" s="467">
        <v>0</v>
      </c>
      <c r="AE155" s="467">
        <v>1</v>
      </c>
      <c r="AF155" s="468">
        <v>1</v>
      </c>
      <c r="AG155" s="467">
        <v>1</v>
      </c>
      <c r="AH155" s="467">
        <v>1</v>
      </c>
      <c r="AI155" s="469">
        <v>1</v>
      </c>
      <c r="AJ155" s="467">
        <v>1</v>
      </c>
      <c r="AK155" s="467">
        <v>1</v>
      </c>
      <c r="AL155" s="467">
        <v>1</v>
      </c>
      <c r="AM155" s="467">
        <v>1</v>
      </c>
      <c r="AN155" s="468">
        <v>1</v>
      </c>
      <c r="AO155" s="467">
        <v>1</v>
      </c>
      <c r="AP155" s="467">
        <v>1</v>
      </c>
      <c r="AQ155" s="469">
        <v>1</v>
      </c>
      <c r="AR155" s="468">
        <v>1</v>
      </c>
      <c r="AS155" s="467">
        <v>1</v>
      </c>
      <c r="AT155" s="467">
        <v>1</v>
      </c>
      <c r="AU155" s="469">
        <v>1</v>
      </c>
      <c r="AV155" s="467">
        <v>2</v>
      </c>
      <c r="AW155" s="474">
        <v>0</v>
      </c>
      <c r="AX155" s="470">
        <v>2</v>
      </c>
    </row>
    <row r="156" spans="1:50" ht="17.399999999999999" customHeight="1">
      <c r="A156" s="403">
        <v>3331</v>
      </c>
      <c r="B156" s="409" t="s">
        <v>656</v>
      </c>
      <c r="C156" s="409">
        <v>12</v>
      </c>
      <c r="D156" s="405">
        <v>11</v>
      </c>
      <c r="E156" s="410" t="s">
        <v>666</v>
      </c>
      <c r="F156" s="411" t="s">
        <v>79</v>
      </c>
      <c r="G156" s="430">
        <v>43420</v>
      </c>
      <c r="H156" s="377">
        <v>43420</v>
      </c>
      <c r="I156" s="383"/>
      <c r="J156" s="378">
        <v>1</v>
      </c>
      <c r="K156" s="378">
        <v>1.5</v>
      </c>
      <c r="L156" s="378">
        <f t="shared" si="6"/>
        <v>23</v>
      </c>
      <c r="M156" s="408">
        <f t="shared" si="7"/>
        <v>0.6216216216216216</v>
      </c>
      <c r="N156" s="378">
        <v>3</v>
      </c>
      <c r="O156" s="431">
        <v>43420</v>
      </c>
      <c r="P156" s="379">
        <v>-3</v>
      </c>
      <c r="Q156" s="380">
        <v>1</v>
      </c>
      <c r="R156" s="379">
        <v>1</v>
      </c>
      <c r="S156" s="379">
        <v>1</v>
      </c>
      <c r="T156" s="379">
        <v>1</v>
      </c>
      <c r="U156" s="379">
        <v>1</v>
      </c>
      <c r="V156" s="381">
        <v>0</v>
      </c>
      <c r="W156" s="379">
        <v>1</v>
      </c>
      <c r="X156" s="379">
        <v>1</v>
      </c>
      <c r="Y156" s="379">
        <v>1</v>
      </c>
      <c r="Z156" s="443">
        <v>0</v>
      </c>
      <c r="AA156" s="379">
        <v>1</v>
      </c>
      <c r="AB156" s="379">
        <v>0</v>
      </c>
      <c r="AC156" s="379">
        <v>0</v>
      </c>
      <c r="AD156" s="379">
        <v>1</v>
      </c>
      <c r="AE156" s="379">
        <v>0</v>
      </c>
      <c r="AF156" s="380">
        <v>1</v>
      </c>
      <c r="AG156" s="379">
        <v>1</v>
      </c>
      <c r="AH156" s="379">
        <v>0</v>
      </c>
      <c r="AI156" s="381">
        <v>0</v>
      </c>
      <c r="AJ156" s="379">
        <v>1</v>
      </c>
      <c r="AK156" s="379">
        <v>0</v>
      </c>
      <c r="AL156" s="379">
        <v>1</v>
      </c>
      <c r="AM156" s="379">
        <v>1</v>
      </c>
      <c r="AN156" s="380">
        <v>1</v>
      </c>
      <c r="AO156" s="379">
        <v>1</v>
      </c>
      <c r="AP156" s="379">
        <v>1</v>
      </c>
      <c r="AQ156" s="381">
        <v>1</v>
      </c>
      <c r="AR156" s="380">
        <v>1</v>
      </c>
      <c r="AS156" s="379">
        <v>1</v>
      </c>
      <c r="AT156" s="379">
        <v>1</v>
      </c>
      <c r="AU156" s="381">
        <v>1</v>
      </c>
      <c r="AV156" s="379">
        <v>0</v>
      </c>
      <c r="AW156" s="379">
        <v>0</v>
      </c>
      <c r="AX156" s="382">
        <v>3</v>
      </c>
    </row>
    <row r="157" spans="1:50" ht="17.399999999999999" customHeight="1">
      <c r="A157" s="403">
        <v>3332</v>
      </c>
      <c r="B157" s="409" t="s">
        <v>656</v>
      </c>
      <c r="C157" s="409">
        <v>13</v>
      </c>
      <c r="D157" s="405">
        <v>11</v>
      </c>
      <c r="E157" s="410" t="s">
        <v>438</v>
      </c>
      <c r="F157" s="411" t="s">
        <v>676</v>
      </c>
      <c r="G157" s="430">
        <v>43420</v>
      </c>
      <c r="H157" s="377">
        <v>43420</v>
      </c>
      <c r="I157" s="383"/>
      <c r="J157" s="378">
        <v>1</v>
      </c>
      <c r="K157" s="378">
        <v>0.25</v>
      </c>
      <c r="L157" s="378">
        <f t="shared" si="6"/>
        <v>1</v>
      </c>
      <c r="M157" s="408">
        <f t="shared" si="7"/>
        <v>2.7027027027027029E-2</v>
      </c>
      <c r="N157" s="378">
        <v>1</v>
      </c>
      <c r="O157" s="431">
        <v>43420</v>
      </c>
      <c r="P157" s="379">
        <v>-10</v>
      </c>
      <c r="Q157" s="380">
        <v>1</v>
      </c>
      <c r="R157" s="379">
        <v>0</v>
      </c>
      <c r="S157" s="379">
        <v>0</v>
      </c>
      <c r="T157" s="443">
        <v>0</v>
      </c>
      <c r="U157" s="379">
        <v>0</v>
      </c>
      <c r="V157" s="381">
        <v>0</v>
      </c>
      <c r="W157" s="379">
        <v>0</v>
      </c>
      <c r="X157" s="379">
        <v>0</v>
      </c>
      <c r="Y157" s="379">
        <v>0</v>
      </c>
      <c r="Z157" s="379">
        <v>0</v>
      </c>
      <c r="AA157" s="379">
        <v>0</v>
      </c>
      <c r="AB157" s="379">
        <v>1</v>
      </c>
      <c r="AC157" s="443">
        <v>0</v>
      </c>
      <c r="AD157" s="379">
        <v>1</v>
      </c>
      <c r="AE157" s="379">
        <v>0</v>
      </c>
      <c r="AF157" s="380">
        <v>0</v>
      </c>
      <c r="AG157" s="379">
        <v>0</v>
      </c>
      <c r="AH157" s="379">
        <v>0</v>
      </c>
      <c r="AI157" s="381">
        <v>0</v>
      </c>
      <c r="AJ157" s="379">
        <v>1</v>
      </c>
      <c r="AK157" s="379">
        <v>0</v>
      </c>
      <c r="AL157" s="379">
        <v>1</v>
      </c>
      <c r="AM157" s="379">
        <v>0</v>
      </c>
      <c r="AN157" s="380">
        <v>1</v>
      </c>
      <c r="AO157" s="379">
        <v>0</v>
      </c>
      <c r="AP157" s="379">
        <v>1</v>
      </c>
      <c r="AQ157" s="381">
        <v>0</v>
      </c>
      <c r="AR157" s="380">
        <v>1</v>
      </c>
      <c r="AS157" s="379">
        <v>0</v>
      </c>
      <c r="AT157" s="379">
        <v>0</v>
      </c>
      <c r="AU157" s="381">
        <v>0</v>
      </c>
      <c r="AV157" s="379">
        <v>0</v>
      </c>
      <c r="AW157" s="379">
        <v>0</v>
      </c>
      <c r="AX157" s="382">
        <v>3</v>
      </c>
    </row>
    <row r="158" spans="1:50" ht="17.399999999999999" customHeight="1">
      <c r="A158" s="457">
        <v>3332</v>
      </c>
      <c r="B158" s="471" t="s">
        <v>656</v>
      </c>
      <c r="C158" s="471">
        <v>13</v>
      </c>
      <c r="D158" s="459">
        <v>11</v>
      </c>
      <c r="E158" s="472" t="s">
        <v>438</v>
      </c>
      <c r="F158" s="473" t="s">
        <v>676</v>
      </c>
      <c r="G158" s="462"/>
      <c r="H158" s="463">
        <v>43444</v>
      </c>
      <c r="I158" s="463"/>
      <c r="J158" s="464">
        <v>2</v>
      </c>
      <c r="K158" s="464">
        <v>1.25</v>
      </c>
      <c r="L158" s="464">
        <f t="shared" si="6"/>
        <v>12</v>
      </c>
      <c r="M158" s="465">
        <f t="shared" si="7"/>
        <v>0.32432432432432434</v>
      </c>
      <c r="N158" s="464">
        <v>2</v>
      </c>
      <c r="O158" s="466">
        <v>43447</v>
      </c>
      <c r="P158" s="467"/>
      <c r="Q158" s="468">
        <v>1</v>
      </c>
      <c r="R158" s="467">
        <v>0</v>
      </c>
      <c r="S158" s="467">
        <v>0</v>
      </c>
      <c r="T158" s="467">
        <v>0</v>
      </c>
      <c r="U158" s="467">
        <v>0</v>
      </c>
      <c r="V158" s="469">
        <v>0</v>
      </c>
      <c r="W158" s="467">
        <v>0</v>
      </c>
      <c r="X158" s="467">
        <v>0</v>
      </c>
      <c r="Y158" s="467">
        <v>0</v>
      </c>
      <c r="Z158" s="467">
        <v>0</v>
      </c>
      <c r="AA158" s="467">
        <v>0</v>
      </c>
      <c r="AB158" s="467">
        <v>0</v>
      </c>
      <c r="AC158" s="467">
        <v>1</v>
      </c>
      <c r="AD158" s="467">
        <v>1</v>
      </c>
      <c r="AE158" s="467">
        <v>0</v>
      </c>
      <c r="AF158" s="468">
        <v>0</v>
      </c>
      <c r="AG158" s="467">
        <v>0</v>
      </c>
      <c r="AH158" s="467">
        <v>0</v>
      </c>
      <c r="AI158" s="469">
        <v>1</v>
      </c>
      <c r="AJ158" s="467">
        <v>1</v>
      </c>
      <c r="AK158" s="467">
        <v>0</v>
      </c>
      <c r="AL158" s="467">
        <v>0</v>
      </c>
      <c r="AM158" s="467">
        <v>0</v>
      </c>
      <c r="AN158" s="468">
        <v>1</v>
      </c>
      <c r="AO158" s="467">
        <v>0</v>
      </c>
      <c r="AP158" s="467">
        <v>1</v>
      </c>
      <c r="AQ158" s="469">
        <v>0</v>
      </c>
      <c r="AR158" s="468">
        <v>0</v>
      </c>
      <c r="AS158" s="467">
        <v>0</v>
      </c>
      <c r="AT158" s="467">
        <v>0</v>
      </c>
      <c r="AU158" s="469">
        <v>1</v>
      </c>
      <c r="AV158" s="467">
        <v>1</v>
      </c>
      <c r="AW158" s="467">
        <v>0</v>
      </c>
      <c r="AX158" s="470">
        <v>3</v>
      </c>
    </row>
    <row r="159" spans="1:50" ht="17.399999999999999" customHeight="1">
      <c r="A159" s="403">
        <v>3333</v>
      </c>
      <c r="B159" s="409" t="s">
        <v>656</v>
      </c>
      <c r="C159" s="409">
        <v>14</v>
      </c>
      <c r="D159" s="405">
        <v>12</v>
      </c>
      <c r="E159" s="410" t="s">
        <v>581</v>
      </c>
      <c r="F159" s="411" t="s">
        <v>677</v>
      </c>
      <c r="G159" s="430">
        <v>43409</v>
      </c>
      <c r="H159" s="377">
        <v>43409</v>
      </c>
      <c r="I159" s="379"/>
      <c r="J159" s="378">
        <v>1</v>
      </c>
      <c r="K159" s="378">
        <v>1.5</v>
      </c>
      <c r="L159" s="378">
        <f t="shared" si="6"/>
        <v>32</v>
      </c>
      <c r="M159" s="408">
        <f t="shared" si="7"/>
        <v>0.86486486486486491</v>
      </c>
      <c r="N159" s="378" t="s">
        <v>33</v>
      </c>
      <c r="O159" s="431">
        <v>43412</v>
      </c>
      <c r="P159" s="379"/>
      <c r="Q159" s="380">
        <v>1</v>
      </c>
      <c r="R159" s="379">
        <v>1</v>
      </c>
      <c r="S159" s="379">
        <v>1</v>
      </c>
      <c r="T159" s="379">
        <v>1</v>
      </c>
      <c r="U159" s="379">
        <v>1</v>
      </c>
      <c r="V159" s="381">
        <v>1</v>
      </c>
      <c r="W159" s="379">
        <v>1</v>
      </c>
      <c r="X159" s="379">
        <v>1</v>
      </c>
      <c r="Y159" s="379">
        <v>1</v>
      </c>
      <c r="Z159" s="379">
        <v>1</v>
      </c>
      <c r="AA159" s="379">
        <v>1</v>
      </c>
      <c r="AB159" s="379">
        <v>1</v>
      </c>
      <c r="AC159" s="379">
        <v>1</v>
      </c>
      <c r="AD159" s="379">
        <v>1</v>
      </c>
      <c r="AE159" s="379">
        <v>1</v>
      </c>
      <c r="AF159" s="380">
        <v>1</v>
      </c>
      <c r="AG159" s="379">
        <v>1</v>
      </c>
      <c r="AH159" s="379">
        <v>1</v>
      </c>
      <c r="AI159" s="381">
        <v>1</v>
      </c>
      <c r="AJ159" s="379">
        <v>1</v>
      </c>
      <c r="AK159" s="379">
        <v>1</v>
      </c>
      <c r="AL159" s="379">
        <v>1</v>
      </c>
      <c r="AM159" s="379">
        <v>1</v>
      </c>
      <c r="AN159" s="380">
        <v>1</v>
      </c>
      <c r="AO159" s="379">
        <v>0</v>
      </c>
      <c r="AP159" s="379">
        <v>1</v>
      </c>
      <c r="AQ159" s="381">
        <v>1</v>
      </c>
      <c r="AR159" s="380">
        <v>1</v>
      </c>
      <c r="AS159" s="379">
        <v>1</v>
      </c>
      <c r="AT159" s="379">
        <v>1</v>
      </c>
      <c r="AU159" s="381">
        <v>1</v>
      </c>
      <c r="AV159" s="379">
        <v>2</v>
      </c>
      <c r="AW159" s="379">
        <v>0</v>
      </c>
      <c r="AX159" s="382">
        <v>0</v>
      </c>
    </row>
    <row r="160" spans="1:50" ht="17.399999999999999" customHeight="1">
      <c r="A160" s="403">
        <v>3334</v>
      </c>
      <c r="B160" s="409" t="s">
        <v>656</v>
      </c>
      <c r="C160" s="409">
        <v>15</v>
      </c>
      <c r="D160" s="405">
        <v>12</v>
      </c>
      <c r="E160" s="410" t="s">
        <v>345</v>
      </c>
      <c r="F160" s="411" t="s">
        <v>188</v>
      </c>
      <c r="G160" s="441">
        <v>43409</v>
      </c>
      <c r="H160" s="383">
        <v>43409</v>
      </c>
      <c r="I160" s="393"/>
      <c r="J160" s="378">
        <v>1</v>
      </c>
      <c r="K160" s="378">
        <v>1.5</v>
      </c>
      <c r="L160" s="378">
        <f t="shared" si="6"/>
        <v>26</v>
      </c>
      <c r="M160" s="408">
        <f t="shared" si="7"/>
        <v>0.70270270270270274</v>
      </c>
      <c r="N160" s="378" t="s">
        <v>32</v>
      </c>
      <c r="O160" s="431">
        <v>43412</v>
      </c>
      <c r="P160" s="393">
        <v>-1</v>
      </c>
      <c r="Q160" s="392">
        <v>1</v>
      </c>
      <c r="R160" s="393">
        <v>1</v>
      </c>
      <c r="S160" s="393">
        <v>1</v>
      </c>
      <c r="T160" s="393">
        <v>1</v>
      </c>
      <c r="U160" s="393">
        <v>1</v>
      </c>
      <c r="V160" s="396">
        <v>0</v>
      </c>
      <c r="W160" s="393">
        <v>1</v>
      </c>
      <c r="X160" s="393">
        <v>1</v>
      </c>
      <c r="Y160" s="393">
        <v>1</v>
      </c>
      <c r="Z160" s="393">
        <v>1</v>
      </c>
      <c r="AA160" s="393">
        <v>1</v>
      </c>
      <c r="AB160" s="393">
        <v>1</v>
      </c>
      <c r="AC160" s="445">
        <v>0</v>
      </c>
      <c r="AD160" s="393">
        <v>1</v>
      </c>
      <c r="AE160" s="393">
        <v>1</v>
      </c>
      <c r="AF160" s="392">
        <v>1</v>
      </c>
      <c r="AG160" s="393">
        <v>1</v>
      </c>
      <c r="AH160" s="393">
        <v>1</v>
      </c>
      <c r="AI160" s="396">
        <v>1</v>
      </c>
      <c r="AJ160" s="393">
        <v>1</v>
      </c>
      <c r="AK160" s="393">
        <v>1</v>
      </c>
      <c r="AL160" s="393">
        <v>1</v>
      </c>
      <c r="AM160" s="393">
        <v>1</v>
      </c>
      <c r="AN160" s="392">
        <v>1</v>
      </c>
      <c r="AO160" s="393">
        <v>1</v>
      </c>
      <c r="AP160" s="393">
        <v>1</v>
      </c>
      <c r="AQ160" s="396">
        <v>1</v>
      </c>
      <c r="AR160" s="392">
        <v>1</v>
      </c>
      <c r="AS160" s="393">
        <v>1</v>
      </c>
      <c r="AT160" s="393">
        <v>0</v>
      </c>
      <c r="AU160" s="396">
        <v>0</v>
      </c>
      <c r="AV160" s="393">
        <v>0</v>
      </c>
      <c r="AW160" s="393">
        <v>0</v>
      </c>
      <c r="AX160" s="397">
        <v>0</v>
      </c>
    </row>
    <row r="161" spans="1:50" ht="17.399999999999999" customHeight="1">
      <c r="A161" s="403">
        <v>3335</v>
      </c>
      <c r="B161" s="409" t="s">
        <v>656</v>
      </c>
      <c r="C161" s="409">
        <v>16</v>
      </c>
      <c r="D161" s="405">
        <v>12</v>
      </c>
      <c r="E161" s="410" t="s">
        <v>667</v>
      </c>
      <c r="F161" s="411" t="s">
        <v>82</v>
      </c>
      <c r="G161" s="441">
        <v>43409</v>
      </c>
      <c r="H161" s="383">
        <v>43409</v>
      </c>
      <c r="I161" s="393"/>
      <c r="J161" s="378">
        <v>1</v>
      </c>
      <c r="K161" s="378">
        <v>1.5</v>
      </c>
      <c r="L161" s="378">
        <f t="shared" si="6"/>
        <v>28</v>
      </c>
      <c r="M161" s="408">
        <f t="shared" si="7"/>
        <v>0.7567567567567568</v>
      </c>
      <c r="N161" s="378">
        <v>4</v>
      </c>
      <c r="O161" s="431">
        <v>43412</v>
      </c>
      <c r="P161" s="393"/>
      <c r="Q161" s="392">
        <v>1</v>
      </c>
      <c r="R161" s="393">
        <v>1</v>
      </c>
      <c r="S161" s="393">
        <v>1</v>
      </c>
      <c r="T161" s="393">
        <v>1</v>
      </c>
      <c r="U161" s="393">
        <v>0</v>
      </c>
      <c r="V161" s="396">
        <v>0</v>
      </c>
      <c r="W161" s="393">
        <v>1</v>
      </c>
      <c r="X161" s="393">
        <v>1</v>
      </c>
      <c r="Y161" s="393">
        <v>0</v>
      </c>
      <c r="Z161" s="393">
        <v>1</v>
      </c>
      <c r="AA161" s="393">
        <v>1</v>
      </c>
      <c r="AB161" s="393">
        <v>1</v>
      </c>
      <c r="AC161" s="393">
        <v>0</v>
      </c>
      <c r="AD161" s="393">
        <v>0</v>
      </c>
      <c r="AE161" s="393">
        <v>1</v>
      </c>
      <c r="AF161" s="392">
        <v>1</v>
      </c>
      <c r="AG161" s="393">
        <v>1</v>
      </c>
      <c r="AH161" s="393">
        <v>1</v>
      </c>
      <c r="AI161" s="396">
        <v>1</v>
      </c>
      <c r="AJ161" s="393">
        <v>1</v>
      </c>
      <c r="AK161" s="393">
        <v>1</v>
      </c>
      <c r="AL161" s="393">
        <v>1</v>
      </c>
      <c r="AM161" s="393">
        <v>1</v>
      </c>
      <c r="AN161" s="392">
        <v>1</v>
      </c>
      <c r="AO161" s="393">
        <v>1</v>
      </c>
      <c r="AP161" s="393">
        <v>1</v>
      </c>
      <c r="AQ161" s="396">
        <v>1</v>
      </c>
      <c r="AR161" s="392">
        <v>1</v>
      </c>
      <c r="AS161" s="393">
        <v>1</v>
      </c>
      <c r="AT161" s="393">
        <v>1</v>
      </c>
      <c r="AU161" s="396">
        <v>0</v>
      </c>
      <c r="AV161" s="393">
        <v>0</v>
      </c>
      <c r="AW161" s="393">
        <v>1</v>
      </c>
      <c r="AX161" s="397">
        <v>2</v>
      </c>
    </row>
    <row r="162" spans="1:50" ht="17.399999999999999" customHeight="1">
      <c r="A162" s="403">
        <v>3336</v>
      </c>
      <c r="B162" s="409" t="s">
        <v>656</v>
      </c>
      <c r="C162" s="409">
        <v>17</v>
      </c>
      <c r="D162" s="405">
        <v>11</v>
      </c>
      <c r="E162" s="412" t="s">
        <v>668</v>
      </c>
      <c r="F162" s="413" t="s">
        <v>385</v>
      </c>
      <c r="G162" s="441">
        <v>43420</v>
      </c>
      <c r="H162" s="383">
        <v>43420</v>
      </c>
      <c r="I162" s="393"/>
      <c r="J162" s="378">
        <v>1</v>
      </c>
      <c r="K162" s="378">
        <v>1.5</v>
      </c>
      <c r="L162" s="378">
        <f t="shared" si="6"/>
        <v>17</v>
      </c>
      <c r="M162" s="408">
        <f t="shared" si="7"/>
        <v>0.45945945945945948</v>
      </c>
      <c r="N162" s="378" t="s">
        <v>35</v>
      </c>
      <c r="O162" s="431">
        <v>43420</v>
      </c>
      <c r="P162" s="393">
        <v>-2</v>
      </c>
      <c r="Q162" s="392">
        <v>1</v>
      </c>
      <c r="R162" s="393">
        <v>1</v>
      </c>
      <c r="S162" s="393">
        <v>1</v>
      </c>
      <c r="T162" s="393">
        <v>1</v>
      </c>
      <c r="U162" s="393">
        <v>1</v>
      </c>
      <c r="V162" s="396">
        <v>0</v>
      </c>
      <c r="W162" s="393">
        <v>1</v>
      </c>
      <c r="X162" s="393">
        <v>0</v>
      </c>
      <c r="Y162" s="393">
        <v>1</v>
      </c>
      <c r="Z162" s="393">
        <v>1</v>
      </c>
      <c r="AA162" s="393">
        <v>1</v>
      </c>
      <c r="AB162" s="393">
        <v>0</v>
      </c>
      <c r="AC162" s="445">
        <v>0</v>
      </c>
      <c r="AD162" s="393">
        <v>0</v>
      </c>
      <c r="AE162" s="393">
        <v>0</v>
      </c>
      <c r="AF162" s="392">
        <v>0</v>
      </c>
      <c r="AG162" s="393">
        <v>0</v>
      </c>
      <c r="AH162" s="393">
        <v>0</v>
      </c>
      <c r="AI162" s="396">
        <v>0</v>
      </c>
      <c r="AJ162" s="393">
        <v>0</v>
      </c>
      <c r="AK162" s="393">
        <v>1</v>
      </c>
      <c r="AL162" s="393">
        <v>1</v>
      </c>
      <c r="AM162" s="393">
        <v>1</v>
      </c>
      <c r="AN162" s="392">
        <v>0</v>
      </c>
      <c r="AO162" s="393">
        <v>0</v>
      </c>
      <c r="AP162" s="393">
        <v>1</v>
      </c>
      <c r="AQ162" s="396">
        <v>1</v>
      </c>
      <c r="AR162" s="392">
        <v>1</v>
      </c>
      <c r="AS162" s="393">
        <v>1</v>
      </c>
      <c r="AT162" s="393">
        <v>1</v>
      </c>
      <c r="AU162" s="396">
        <v>1</v>
      </c>
      <c r="AV162" s="393">
        <v>0</v>
      </c>
      <c r="AW162" s="393">
        <v>0</v>
      </c>
      <c r="AX162" s="397">
        <v>1</v>
      </c>
    </row>
    <row r="163" spans="1:50" ht="17.399999999999999" customHeight="1">
      <c r="A163" s="403">
        <v>3337</v>
      </c>
      <c r="B163" s="409" t="s">
        <v>656</v>
      </c>
      <c r="C163" s="409">
        <v>18</v>
      </c>
      <c r="D163" s="405">
        <v>11</v>
      </c>
      <c r="E163" s="410" t="s">
        <v>669</v>
      </c>
      <c r="F163" s="411" t="s">
        <v>675</v>
      </c>
      <c r="G163" s="441">
        <v>43420</v>
      </c>
      <c r="H163" s="383">
        <v>43420</v>
      </c>
      <c r="I163" s="393"/>
      <c r="J163" s="378">
        <v>1</v>
      </c>
      <c r="K163" s="378">
        <v>1.5</v>
      </c>
      <c r="L163" s="378">
        <f t="shared" si="6"/>
        <v>10</v>
      </c>
      <c r="M163" s="408">
        <f t="shared" si="7"/>
        <v>0.27027027027027029</v>
      </c>
      <c r="N163" s="378">
        <v>1</v>
      </c>
      <c r="O163" s="431">
        <v>43420</v>
      </c>
      <c r="P163" s="393"/>
      <c r="Q163" s="392">
        <v>1</v>
      </c>
      <c r="R163" s="393">
        <v>1</v>
      </c>
      <c r="S163" s="393">
        <v>1</v>
      </c>
      <c r="T163" s="393">
        <v>1</v>
      </c>
      <c r="U163" s="393">
        <v>0</v>
      </c>
      <c r="V163" s="396">
        <v>0</v>
      </c>
      <c r="W163" s="393">
        <v>1</v>
      </c>
      <c r="X163" s="393">
        <v>1</v>
      </c>
      <c r="Y163" s="393">
        <v>0</v>
      </c>
      <c r="Z163" s="393">
        <v>0</v>
      </c>
      <c r="AA163" s="393">
        <v>0</v>
      </c>
      <c r="AB163" s="393">
        <v>0</v>
      </c>
      <c r="AC163" s="393">
        <v>0</v>
      </c>
      <c r="AD163" s="393">
        <v>1</v>
      </c>
      <c r="AE163" s="393">
        <v>0</v>
      </c>
      <c r="AF163" s="392">
        <v>0</v>
      </c>
      <c r="AG163" s="393">
        <v>0</v>
      </c>
      <c r="AH163" s="393">
        <v>0</v>
      </c>
      <c r="AI163" s="396">
        <v>0</v>
      </c>
      <c r="AJ163" s="393">
        <v>1</v>
      </c>
      <c r="AK163" s="393">
        <v>0</v>
      </c>
      <c r="AL163" s="393">
        <v>1</v>
      </c>
      <c r="AM163" s="393">
        <v>1</v>
      </c>
      <c r="AN163" s="392">
        <v>0</v>
      </c>
      <c r="AO163" s="393">
        <v>0</v>
      </c>
      <c r="AP163" s="393">
        <v>0</v>
      </c>
      <c r="AQ163" s="396">
        <v>0</v>
      </c>
      <c r="AR163" s="392">
        <v>0</v>
      </c>
      <c r="AS163" s="393">
        <v>0</v>
      </c>
      <c r="AT163" s="393">
        <v>0</v>
      </c>
      <c r="AU163" s="396">
        <v>0</v>
      </c>
      <c r="AV163" s="393">
        <v>0</v>
      </c>
      <c r="AW163" s="393">
        <v>0</v>
      </c>
      <c r="AX163" s="397">
        <v>0</v>
      </c>
    </row>
    <row r="164" spans="1:50" ht="17.399999999999999" customHeight="1">
      <c r="A164" s="403">
        <v>3338</v>
      </c>
      <c r="B164" s="409" t="s">
        <v>656</v>
      </c>
      <c r="C164" s="409">
        <v>19</v>
      </c>
      <c r="D164" s="405">
        <v>11</v>
      </c>
      <c r="E164" s="412" t="s">
        <v>357</v>
      </c>
      <c r="F164" s="413" t="s">
        <v>18</v>
      </c>
      <c r="G164" s="441">
        <v>43420</v>
      </c>
      <c r="H164" s="383">
        <v>43420</v>
      </c>
      <c r="I164" s="393"/>
      <c r="J164" s="378">
        <v>1</v>
      </c>
      <c r="K164" s="378">
        <v>1.5</v>
      </c>
      <c r="L164" s="378">
        <f t="shared" si="6"/>
        <v>23</v>
      </c>
      <c r="M164" s="408">
        <f t="shared" si="7"/>
        <v>0.6216216216216216</v>
      </c>
      <c r="N164" s="378">
        <v>3</v>
      </c>
      <c r="O164" s="431">
        <v>43420</v>
      </c>
      <c r="P164" s="393"/>
      <c r="Q164" s="392">
        <v>1</v>
      </c>
      <c r="R164" s="393">
        <v>1</v>
      </c>
      <c r="S164" s="393">
        <v>1</v>
      </c>
      <c r="T164" s="393">
        <v>1</v>
      </c>
      <c r="U164" s="393">
        <v>1</v>
      </c>
      <c r="V164" s="396">
        <v>0</v>
      </c>
      <c r="W164" s="393">
        <v>1</v>
      </c>
      <c r="X164" s="393">
        <v>1</v>
      </c>
      <c r="Y164" s="393">
        <v>0</v>
      </c>
      <c r="Z164" s="393">
        <v>1</v>
      </c>
      <c r="AA164" s="393">
        <v>1</v>
      </c>
      <c r="AB164" s="393">
        <v>1</v>
      </c>
      <c r="AC164" s="393">
        <v>0</v>
      </c>
      <c r="AD164" s="393">
        <v>1</v>
      </c>
      <c r="AE164" s="393">
        <v>1</v>
      </c>
      <c r="AF164" s="392">
        <v>1</v>
      </c>
      <c r="AG164" s="393">
        <v>1</v>
      </c>
      <c r="AH164" s="393">
        <v>1</v>
      </c>
      <c r="AI164" s="396">
        <v>1</v>
      </c>
      <c r="AJ164" s="393">
        <v>1</v>
      </c>
      <c r="AK164" s="393">
        <v>1</v>
      </c>
      <c r="AL164" s="393">
        <v>1</v>
      </c>
      <c r="AM164" s="393">
        <v>1</v>
      </c>
      <c r="AN164" s="392">
        <v>0</v>
      </c>
      <c r="AO164" s="393">
        <v>1</v>
      </c>
      <c r="AP164" s="393">
        <v>1</v>
      </c>
      <c r="AQ164" s="396">
        <v>1</v>
      </c>
      <c r="AR164" s="392">
        <v>0</v>
      </c>
      <c r="AS164" s="393">
        <v>0</v>
      </c>
      <c r="AT164" s="393">
        <v>0</v>
      </c>
      <c r="AU164" s="396">
        <v>0</v>
      </c>
      <c r="AV164" s="393">
        <v>0</v>
      </c>
      <c r="AW164" s="393">
        <v>0</v>
      </c>
      <c r="AX164" s="397">
        <v>0</v>
      </c>
    </row>
    <row r="165" spans="1:50" ht="17.399999999999999" customHeight="1">
      <c r="A165" s="403">
        <v>3339</v>
      </c>
      <c r="B165" s="409" t="s">
        <v>656</v>
      </c>
      <c r="C165" s="409">
        <v>20</v>
      </c>
      <c r="D165" s="405">
        <v>11</v>
      </c>
      <c r="E165" s="410" t="s">
        <v>387</v>
      </c>
      <c r="F165" s="413" t="s">
        <v>65</v>
      </c>
      <c r="G165" s="441">
        <v>43420</v>
      </c>
      <c r="H165" s="383">
        <v>43420</v>
      </c>
      <c r="I165" s="393"/>
      <c r="J165" s="378">
        <v>1</v>
      </c>
      <c r="K165" s="378">
        <v>1.5</v>
      </c>
      <c r="L165" s="378">
        <f t="shared" si="6"/>
        <v>25</v>
      </c>
      <c r="M165" s="408">
        <f t="shared" si="7"/>
        <v>0.67567567567567566</v>
      </c>
      <c r="N165" s="378">
        <v>3</v>
      </c>
      <c r="O165" s="431">
        <v>43420</v>
      </c>
      <c r="P165" s="393">
        <v>-1</v>
      </c>
      <c r="Q165" s="392">
        <v>1</v>
      </c>
      <c r="R165" s="393">
        <v>1</v>
      </c>
      <c r="S165" s="393">
        <v>1</v>
      </c>
      <c r="T165" s="393">
        <v>1</v>
      </c>
      <c r="U165" s="393">
        <v>1</v>
      </c>
      <c r="V165" s="396">
        <v>0</v>
      </c>
      <c r="W165" s="393">
        <v>1</v>
      </c>
      <c r="X165" s="393">
        <v>1</v>
      </c>
      <c r="Y165" s="393">
        <v>1</v>
      </c>
      <c r="Z165" s="393">
        <v>0</v>
      </c>
      <c r="AA165" s="393">
        <v>1</v>
      </c>
      <c r="AB165" s="393">
        <v>1</v>
      </c>
      <c r="AC165" s="445">
        <v>0</v>
      </c>
      <c r="AD165" s="393">
        <v>1</v>
      </c>
      <c r="AE165" s="393">
        <v>1</v>
      </c>
      <c r="AF165" s="392">
        <v>1</v>
      </c>
      <c r="AG165" s="393">
        <v>1</v>
      </c>
      <c r="AH165" s="393">
        <v>0</v>
      </c>
      <c r="AI165" s="396">
        <v>0</v>
      </c>
      <c r="AJ165" s="393">
        <v>1</v>
      </c>
      <c r="AK165" s="393">
        <v>1</v>
      </c>
      <c r="AL165" s="393">
        <v>1</v>
      </c>
      <c r="AM165" s="393">
        <v>1</v>
      </c>
      <c r="AN165" s="392">
        <v>1</v>
      </c>
      <c r="AO165" s="393">
        <v>1</v>
      </c>
      <c r="AP165" s="393">
        <v>0</v>
      </c>
      <c r="AQ165" s="396">
        <v>0</v>
      </c>
      <c r="AR165" s="392">
        <v>1</v>
      </c>
      <c r="AS165" s="393">
        <v>1</v>
      </c>
      <c r="AT165" s="393">
        <v>1</v>
      </c>
      <c r="AU165" s="396">
        <v>1</v>
      </c>
      <c r="AV165" s="393">
        <v>2</v>
      </c>
      <c r="AW165" s="393">
        <v>0</v>
      </c>
      <c r="AX165" s="397">
        <v>0</v>
      </c>
    </row>
    <row r="166" spans="1:50" ht="17.399999999999999" customHeight="1">
      <c r="A166" s="403">
        <v>3340</v>
      </c>
      <c r="B166" s="409" t="s">
        <v>656</v>
      </c>
      <c r="C166" s="409">
        <v>21</v>
      </c>
      <c r="D166" s="405">
        <v>12</v>
      </c>
      <c r="E166" s="410" t="s">
        <v>387</v>
      </c>
      <c r="F166" s="411" t="s">
        <v>47</v>
      </c>
      <c r="G166" s="441">
        <v>43409</v>
      </c>
      <c r="H166" s="383">
        <v>43409</v>
      </c>
      <c r="I166" s="393"/>
      <c r="J166" s="378">
        <v>1</v>
      </c>
      <c r="K166" s="378">
        <v>1.5</v>
      </c>
      <c r="L166" s="378">
        <f t="shared" si="6"/>
        <v>28</v>
      </c>
      <c r="M166" s="408">
        <f t="shared" si="7"/>
        <v>0.7567567567567568</v>
      </c>
      <c r="N166" s="451">
        <v>4</v>
      </c>
      <c r="O166" s="448">
        <v>43412</v>
      </c>
      <c r="P166" s="393">
        <v>-2</v>
      </c>
      <c r="Q166" s="392">
        <v>1</v>
      </c>
      <c r="R166" s="393">
        <v>1</v>
      </c>
      <c r="S166" s="393">
        <v>1</v>
      </c>
      <c r="T166" s="393">
        <v>1</v>
      </c>
      <c r="U166" s="393">
        <v>1</v>
      </c>
      <c r="V166" s="396">
        <v>0</v>
      </c>
      <c r="W166" s="393">
        <v>1</v>
      </c>
      <c r="X166" s="393">
        <v>1</v>
      </c>
      <c r="Y166" s="393">
        <v>1</v>
      </c>
      <c r="Z166" s="393">
        <v>0</v>
      </c>
      <c r="AA166" s="393">
        <v>1</v>
      </c>
      <c r="AB166" s="393">
        <v>1</v>
      </c>
      <c r="AC166" s="393">
        <v>1</v>
      </c>
      <c r="AD166" s="393">
        <v>1</v>
      </c>
      <c r="AE166" s="393">
        <v>1</v>
      </c>
      <c r="AF166" s="392">
        <v>1</v>
      </c>
      <c r="AG166" s="393">
        <v>1</v>
      </c>
      <c r="AH166" s="393">
        <v>1</v>
      </c>
      <c r="AI166" s="396">
        <v>0</v>
      </c>
      <c r="AJ166" s="393">
        <v>1</v>
      </c>
      <c r="AK166" s="393">
        <v>1</v>
      </c>
      <c r="AL166" s="393">
        <v>1</v>
      </c>
      <c r="AM166" s="393">
        <v>1</v>
      </c>
      <c r="AN166" s="392">
        <v>1</v>
      </c>
      <c r="AO166" s="393">
        <v>1</v>
      </c>
      <c r="AP166" s="393">
        <v>1</v>
      </c>
      <c r="AQ166" s="396">
        <v>1</v>
      </c>
      <c r="AR166" s="392">
        <v>1</v>
      </c>
      <c r="AS166" s="393">
        <v>0</v>
      </c>
      <c r="AT166" s="393">
        <v>1</v>
      </c>
      <c r="AU166" s="396">
        <v>1</v>
      </c>
      <c r="AV166" s="393">
        <v>2</v>
      </c>
      <c r="AW166" s="393">
        <v>1</v>
      </c>
      <c r="AX166" s="397">
        <v>0</v>
      </c>
    </row>
    <row r="167" spans="1:50" ht="17.399999999999999" customHeight="1">
      <c r="A167" s="403">
        <v>3341</v>
      </c>
      <c r="B167" s="409" t="s">
        <v>656</v>
      </c>
      <c r="C167" s="409">
        <v>22</v>
      </c>
      <c r="D167" s="405">
        <v>11</v>
      </c>
      <c r="E167" s="410" t="s">
        <v>670</v>
      </c>
      <c r="F167" s="413" t="s">
        <v>385</v>
      </c>
      <c r="G167" s="441">
        <v>43420</v>
      </c>
      <c r="H167" s="383">
        <v>43420</v>
      </c>
      <c r="I167" s="393"/>
      <c r="J167" s="378">
        <v>1</v>
      </c>
      <c r="K167" s="378">
        <v>1.5</v>
      </c>
      <c r="L167" s="378">
        <f t="shared" si="6"/>
        <v>17</v>
      </c>
      <c r="M167" s="408">
        <f t="shared" si="7"/>
        <v>0.45945945945945948</v>
      </c>
      <c r="N167" s="451" t="s">
        <v>35</v>
      </c>
      <c r="O167" s="448">
        <v>43420</v>
      </c>
      <c r="P167" s="393">
        <v>-1</v>
      </c>
      <c r="Q167" s="392">
        <v>1</v>
      </c>
      <c r="R167" s="393">
        <v>1</v>
      </c>
      <c r="S167" s="393">
        <v>1</v>
      </c>
      <c r="T167" s="393">
        <v>1</v>
      </c>
      <c r="U167" s="393">
        <v>0</v>
      </c>
      <c r="V167" s="396">
        <v>0</v>
      </c>
      <c r="W167" s="393">
        <v>1</v>
      </c>
      <c r="X167" s="393">
        <v>1</v>
      </c>
      <c r="Y167" s="393">
        <v>1</v>
      </c>
      <c r="Z167" s="445">
        <v>1</v>
      </c>
      <c r="AA167" s="393">
        <v>0</v>
      </c>
      <c r="AB167" s="393">
        <v>0</v>
      </c>
      <c r="AC167" s="393">
        <v>1</v>
      </c>
      <c r="AD167" s="393">
        <v>1</v>
      </c>
      <c r="AE167" s="393">
        <v>1</v>
      </c>
      <c r="AF167" s="392">
        <v>1</v>
      </c>
      <c r="AG167" s="393">
        <v>1</v>
      </c>
      <c r="AH167" s="393">
        <v>0</v>
      </c>
      <c r="AI167" s="396">
        <v>0</v>
      </c>
      <c r="AJ167" s="393">
        <v>1</v>
      </c>
      <c r="AK167" s="393">
        <v>1</v>
      </c>
      <c r="AL167" s="393">
        <v>1</v>
      </c>
      <c r="AM167" s="393">
        <v>1</v>
      </c>
      <c r="AN167" s="392">
        <v>1</v>
      </c>
      <c r="AO167" s="393">
        <v>0</v>
      </c>
      <c r="AP167" s="393">
        <v>0</v>
      </c>
      <c r="AQ167" s="396">
        <v>0</v>
      </c>
      <c r="AR167" s="392">
        <v>0</v>
      </c>
      <c r="AS167" s="393">
        <v>0</v>
      </c>
      <c r="AT167" s="393">
        <v>0</v>
      </c>
      <c r="AU167" s="396">
        <v>0</v>
      </c>
      <c r="AV167" s="393">
        <v>0</v>
      </c>
      <c r="AW167" s="393">
        <v>0</v>
      </c>
      <c r="AX167" s="397">
        <v>0</v>
      </c>
    </row>
    <row r="168" spans="1:50" ht="17.399999999999999" customHeight="1">
      <c r="A168" s="403">
        <v>3342</v>
      </c>
      <c r="B168" s="409" t="s">
        <v>656</v>
      </c>
      <c r="C168" s="409">
        <v>23</v>
      </c>
      <c r="D168" s="405">
        <v>8</v>
      </c>
      <c r="E168" s="410" t="s">
        <v>671</v>
      </c>
      <c r="F168" s="411" t="s">
        <v>14</v>
      </c>
      <c r="G168" s="430">
        <v>43434</v>
      </c>
      <c r="H168" s="377"/>
      <c r="I168" s="393" t="s">
        <v>702</v>
      </c>
      <c r="J168" s="378">
        <v>1</v>
      </c>
      <c r="K168" s="378">
        <v>0.1</v>
      </c>
      <c r="L168" s="378">
        <f t="shared" si="6"/>
        <v>0</v>
      </c>
      <c r="M168" s="408">
        <f t="shared" si="7"/>
        <v>0</v>
      </c>
      <c r="N168" s="451">
        <v>1</v>
      </c>
      <c r="O168" s="448">
        <v>43434</v>
      </c>
      <c r="P168" s="393"/>
      <c r="Q168" s="392"/>
      <c r="R168" s="393"/>
      <c r="S168" s="393"/>
      <c r="T168" s="393"/>
      <c r="U168" s="393"/>
      <c r="V168" s="396"/>
      <c r="W168" s="393"/>
      <c r="X168" s="393"/>
      <c r="Y168" s="393"/>
      <c r="Z168" s="393"/>
      <c r="AA168" s="393"/>
      <c r="AB168" s="393"/>
      <c r="AC168" s="393"/>
      <c r="AD168" s="393"/>
      <c r="AE168" s="393"/>
      <c r="AF168" s="392"/>
      <c r="AG168" s="393"/>
      <c r="AH168" s="393"/>
      <c r="AI168" s="396"/>
      <c r="AJ168" s="393"/>
      <c r="AK168" s="393"/>
      <c r="AL168" s="393"/>
      <c r="AM168" s="393"/>
      <c r="AN168" s="392"/>
      <c r="AO168" s="393"/>
      <c r="AP168" s="393"/>
      <c r="AQ168" s="396"/>
      <c r="AR168" s="392"/>
      <c r="AS168" s="393"/>
      <c r="AT168" s="393"/>
      <c r="AU168" s="396"/>
      <c r="AV168" s="393"/>
      <c r="AW168" s="393"/>
      <c r="AX168" s="397"/>
    </row>
    <row r="169" spans="1:50" ht="17.399999999999999" customHeight="1">
      <c r="A169" s="457">
        <v>3342</v>
      </c>
      <c r="B169" s="471" t="s">
        <v>656</v>
      </c>
      <c r="C169" s="471">
        <v>23</v>
      </c>
      <c r="D169" s="459">
        <v>8</v>
      </c>
      <c r="E169" s="472" t="s">
        <v>671</v>
      </c>
      <c r="F169" s="473" t="s">
        <v>14</v>
      </c>
      <c r="G169" s="462"/>
      <c r="H169" s="463">
        <v>43437</v>
      </c>
      <c r="I169" s="467"/>
      <c r="J169" s="464">
        <v>2</v>
      </c>
      <c r="K169" s="464">
        <v>1.4</v>
      </c>
      <c r="L169" s="464">
        <f t="shared" ref="L169" si="8">SUM(P169:AX169)</f>
        <v>27</v>
      </c>
      <c r="M169" s="465">
        <f t="shared" ref="M169" si="9">L169/$L$2</f>
        <v>0.72972972972972971</v>
      </c>
      <c r="N169" s="464" t="s">
        <v>30</v>
      </c>
      <c r="O169" s="466">
        <v>43440</v>
      </c>
      <c r="P169" s="467"/>
      <c r="Q169" s="468">
        <v>1</v>
      </c>
      <c r="R169" s="467">
        <v>1</v>
      </c>
      <c r="S169" s="467">
        <v>1</v>
      </c>
      <c r="T169" s="467">
        <v>1</v>
      </c>
      <c r="U169" s="467">
        <v>1</v>
      </c>
      <c r="V169" s="469">
        <v>0</v>
      </c>
      <c r="W169" s="467">
        <v>1</v>
      </c>
      <c r="X169" s="467">
        <v>1</v>
      </c>
      <c r="Y169" s="467">
        <v>1</v>
      </c>
      <c r="Z169" s="467">
        <v>1</v>
      </c>
      <c r="AA169" s="467">
        <v>1</v>
      </c>
      <c r="AB169" s="467">
        <v>1</v>
      </c>
      <c r="AC169" s="467">
        <v>1</v>
      </c>
      <c r="AD169" s="467">
        <v>1</v>
      </c>
      <c r="AE169" s="467">
        <v>1</v>
      </c>
      <c r="AF169" s="468">
        <v>1</v>
      </c>
      <c r="AG169" s="467">
        <v>1</v>
      </c>
      <c r="AH169" s="467">
        <v>1</v>
      </c>
      <c r="AI169" s="469">
        <v>0</v>
      </c>
      <c r="AJ169" s="467">
        <v>1</v>
      </c>
      <c r="AK169" s="467">
        <v>1</v>
      </c>
      <c r="AL169" s="467">
        <v>1</v>
      </c>
      <c r="AM169" s="467">
        <v>1</v>
      </c>
      <c r="AN169" s="468">
        <v>1</v>
      </c>
      <c r="AO169" s="467">
        <v>1</v>
      </c>
      <c r="AP169" s="467">
        <v>1</v>
      </c>
      <c r="AQ169" s="469">
        <v>1</v>
      </c>
      <c r="AR169" s="468">
        <v>1</v>
      </c>
      <c r="AS169" s="467">
        <v>1</v>
      </c>
      <c r="AT169" s="467">
        <v>0</v>
      </c>
      <c r="AU169" s="469">
        <v>0</v>
      </c>
      <c r="AV169" s="467">
        <v>0</v>
      </c>
      <c r="AW169" s="467">
        <v>0</v>
      </c>
      <c r="AX169" s="470">
        <v>0</v>
      </c>
    </row>
    <row r="170" spans="1:50" ht="17.399999999999999" customHeight="1">
      <c r="A170" s="403">
        <v>3343</v>
      </c>
      <c r="B170" s="409" t="s">
        <v>656</v>
      </c>
      <c r="C170" s="409">
        <v>24</v>
      </c>
      <c r="D170" s="405">
        <v>12</v>
      </c>
      <c r="E170" s="410" t="s">
        <v>360</v>
      </c>
      <c r="F170" s="411" t="s">
        <v>79</v>
      </c>
      <c r="G170" s="441">
        <v>43409</v>
      </c>
      <c r="H170" s="383">
        <v>43409</v>
      </c>
      <c r="I170" s="393" t="s">
        <v>697</v>
      </c>
      <c r="J170" s="378">
        <v>1</v>
      </c>
      <c r="K170" s="378">
        <v>1.5</v>
      </c>
      <c r="L170" s="378">
        <f t="shared" si="6"/>
        <v>11</v>
      </c>
      <c r="M170" s="408">
        <f t="shared" si="7"/>
        <v>0.29729729729729731</v>
      </c>
      <c r="N170" s="451">
        <v>2</v>
      </c>
      <c r="O170" s="448">
        <v>43412</v>
      </c>
      <c r="P170" s="393">
        <v>-1</v>
      </c>
      <c r="Q170" s="392">
        <v>0</v>
      </c>
      <c r="R170" s="393">
        <v>0</v>
      </c>
      <c r="S170" s="393">
        <v>0</v>
      </c>
      <c r="T170" s="393">
        <v>0</v>
      </c>
      <c r="U170" s="393">
        <v>0</v>
      </c>
      <c r="V170" s="396">
        <v>0</v>
      </c>
      <c r="W170" s="393">
        <v>1</v>
      </c>
      <c r="X170" s="393">
        <v>1</v>
      </c>
      <c r="Y170" s="393">
        <v>0</v>
      </c>
      <c r="Z170" s="393">
        <v>0</v>
      </c>
      <c r="AA170" s="393">
        <v>0</v>
      </c>
      <c r="AB170" s="393">
        <v>0</v>
      </c>
      <c r="AC170" s="393">
        <v>0</v>
      </c>
      <c r="AD170" s="393">
        <v>1</v>
      </c>
      <c r="AE170" s="393">
        <v>0</v>
      </c>
      <c r="AF170" s="392">
        <v>0</v>
      </c>
      <c r="AG170" s="393">
        <v>0</v>
      </c>
      <c r="AH170" s="393">
        <v>0</v>
      </c>
      <c r="AI170" s="396">
        <v>0</v>
      </c>
      <c r="AJ170" s="393">
        <v>1</v>
      </c>
      <c r="AK170" s="393">
        <v>0</v>
      </c>
      <c r="AL170" s="393">
        <v>0</v>
      </c>
      <c r="AM170" s="393">
        <v>0</v>
      </c>
      <c r="AN170" s="392">
        <v>1</v>
      </c>
      <c r="AO170" s="393">
        <v>0</v>
      </c>
      <c r="AP170" s="393">
        <v>1</v>
      </c>
      <c r="AQ170" s="396">
        <v>0</v>
      </c>
      <c r="AR170" s="392">
        <v>1</v>
      </c>
      <c r="AS170" s="393">
        <v>1</v>
      </c>
      <c r="AT170" s="393">
        <v>0</v>
      </c>
      <c r="AU170" s="396">
        <v>1</v>
      </c>
      <c r="AV170" s="393">
        <v>0</v>
      </c>
      <c r="AW170" s="393">
        <v>0</v>
      </c>
      <c r="AX170" s="397">
        <v>3</v>
      </c>
    </row>
    <row r="171" spans="1:50" ht="17.399999999999999" customHeight="1">
      <c r="A171" s="403">
        <v>3344</v>
      </c>
      <c r="B171" s="409" t="s">
        <v>656</v>
      </c>
      <c r="C171" s="409">
        <v>25</v>
      </c>
      <c r="D171" s="405">
        <v>12</v>
      </c>
      <c r="E171" s="410" t="s">
        <v>640</v>
      </c>
      <c r="F171" s="411" t="s">
        <v>19</v>
      </c>
      <c r="G171" s="441">
        <v>43409</v>
      </c>
      <c r="H171" s="383">
        <v>43409</v>
      </c>
      <c r="I171" s="393"/>
      <c r="J171" s="378">
        <v>1</v>
      </c>
      <c r="K171" s="378">
        <v>1.5</v>
      </c>
      <c r="L171" s="378">
        <f t="shared" si="6"/>
        <v>28</v>
      </c>
      <c r="M171" s="408">
        <f t="shared" si="7"/>
        <v>0.7567567567567568</v>
      </c>
      <c r="N171" s="451">
        <v>4</v>
      </c>
      <c r="O171" s="448">
        <v>43412</v>
      </c>
      <c r="P171" s="393">
        <v>-1</v>
      </c>
      <c r="Q171" s="392">
        <v>1</v>
      </c>
      <c r="R171" s="393">
        <v>1</v>
      </c>
      <c r="S171" s="393">
        <v>1</v>
      </c>
      <c r="T171" s="393">
        <v>1</v>
      </c>
      <c r="U171" s="393">
        <v>1</v>
      </c>
      <c r="V171" s="449">
        <v>0</v>
      </c>
      <c r="W171" s="393">
        <v>1</v>
      </c>
      <c r="X171" s="393">
        <v>1</v>
      </c>
      <c r="Y171" s="393">
        <v>0</v>
      </c>
      <c r="Z171" s="393">
        <v>1</v>
      </c>
      <c r="AA171" s="393">
        <v>0</v>
      </c>
      <c r="AB171" s="393">
        <v>1</v>
      </c>
      <c r="AC171" s="393">
        <v>1</v>
      </c>
      <c r="AD171" s="393">
        <v>1</v>
      </c>
      <c r="AE171" s="393">
        <v>1</v>
      </c>
      <c r="AF171" s="392">
        <v>1</v>
      </c>
      <c r="AG171" s="393">
        <v>1</v>
      </c>
      <c r="AH171" s="393">
        <v>1</v>
      </c>
      <c r="AI171" s="396">
        <v>1</v>
      </c>
      <c r="AJ171" s="393">
        <v>1</v>
      </c>
      <c r="AK171" s="393">
        <v>1</v>
      </c>
      <c r="AL171" s="393">
        <v>1</v>
      </c>
      <c r="AM171" s="393">
        <v>1</v>
      </c>
      <c r="AN171" s="392">
        <v>1</v>
      </c>
      <c r="AO171" s="393">
        <v>1</v>
      </c>
      <c r="AP171" s="393">
        <v>1</v>
      </c>
      <c r="AQ171" s="396">
        <v>1</v>
      </c>
      <c r="AR171" s="392">
        <v>0</v>
      </c>
      <c r="AS171" s="393">
        <v>1</v>
      </c>
      <c r="AT171" s="393">
        <v>0</v>
      </c>
      <c r="AU171" s="396">
        <v>1</v>
      </c>
      <c r="AV171" s="393">
        <v>2</v>
      </c>
      <c r="AW171" s="393">
        <v>1</v>
      </c>
      <c r="AX171" s="397">
        <v>0</v>
      </c>
    </row>
    <row r="172" spans="1:50" ht="17.399999999999999" customHeight="1" thickBot="1">
      <c r="A172" s="414">
        <v>3345</v>
      </c>
      <c r="B172" s="420" t="s">
        <v>656</v>
      </c>
      <c r="C172" s="420">
        <v>26</v>
      </c>
      <c r="D172" s="416">
        <v>12</v>
      </c>
      <c r="E172" s="423" t="s">
        <v>110</v>
      </c>
      <c r="F172" s="424" t="s">
        <v>12</v>
      </c>
      <c r="G172" s="442">
        <v>43409</v>
      </c>
      <c r="H172" s="389">
        <v>43409</v>
      </c>
      <c r="I172" s="395"/>
      <c r="J172" s="390">
        <v>1</v>
      </c>
      <c r="K172" s="390">
        <v>1.5</v>
      </c>
      <c r="L172" s="390">
        <f t="shared" si="6"/>
        <v>32</v>
      </c>
      <c r="M172" s="419">
        <f t="shared" si="7"/>
        <v>0.86486486486486491</v>
      </c>
      <c r="N172" s="452" t="s">
        <v>33</v>
      </c>
      <c r="O172" s="450">
        <v>43412</v>
      </c>
      <c r="P172" s="395"/>
      <c r="Q172" s="394">
        <v>1</v>
      </c>
      <c r="R172" s="395">
        <v>1</v>
      </c>
      <c r="S172" s="395">
        <v>1</v>
      </c>
      <c r="T172" s="395">
        <v>1</v>
      </c>
      <c r="U172" s="395">
        <v>1</v>
      </c>
      <c r="V172" s="437">
        <v>0</v>
      </c>
      <c r="W172" s="395">
        <v>1</v>
      </c>
      <c r="X172" s="395">
        <v>1</v>
      </c>
      <c r="Y172" s="395">
        <v>1</v>
      </c>
      <c r="Z172" s="395">
        <v>1</v>
      </c>
      <c r="AA172" s="395">
        <v>1</v>
      </c>
      <c r="AB172" s="395">
        <v>1</v>
      </c>
      <c r="AC172" s="395">
        <v>1</v>
      </c>
      <c r="AD172" s="395">
        <v>1</v>
      </c>
      <c r="AE172" s="395">
        <v>1</v>
      </c>
      <c r="AF172" s="394">
        <v>1</v>
      </c>
      <c r="AG172" s="395">
        <v>1</v>
      </c>
      <c r="AH172" s="395">
        <v>1</v>
      </c>
      <c r="AI172" s="437">
        <v>0</v>
      </c>
      <c r="AJ172" s="395">
        <v>1</v>
      </c>
      <c r="AK172" s="395">
        <v>1</v>
      </c>
      <c r="AL172" s="395">
        <v>1</v>
      </c>
      <c r="AM172" s="395">
        <v>1</v>
      </c>
      <c r="AN172" s="394">
        <v>1</v>
      </c>
      <c r="AO172" s="395">
        <v>1</v>
      </c>
      <c r="AP172" s="395">
        <v>1</v>
      </c>
      <c r="AQ172" s="437">
        <v>1</v>
      </c>
      <c r="AR172" s="394">
        <v>1</v>
      </c>
      <c r="AS172" s="395">
        <v>0</v>
      </c>
      <c r="AT172" s="395">
        <v>1</v>
      </c>
      <c r="AU172" s="437">
        <v>1</v>
      </c>
      <c r="AV172" s="395">
        <v>2</v>
      </c>
      <c r="AW172" s="395">
        <v>1</v>
      </c>
      <c r="AX172" s="427">
        <v>1</v>
      </c>
    </row>
    <row r="173" spans="1:50" ht="13.8" thickTop="1"/>
  </sheetData>
  <autoFilter ref="A1:O172">
    <sortState ref="A4:O142">
      <sortCondition ref="B1:B138"/>
    </sortState>
  </autoFilter>
  <mergeCells count="13">
    <mergeCell ref="N1:N2"/>
    <mergeCell ref="G1:G2"/>
    <mergeCell ref="F1:F2"/>
    <mergeCell ref="A1:A2"/>
    <mergeCell ref="B1:B2"/>
    <mergeCell ref="C1:C2"/>
    <mergeCell ref="D1:D2"/>
    <mergeCell ref="E1:E2"/>
    <mergeCell ref="H1:H2"/>
    <mergeCell ref="I1:I2"/>
    <mergeCell ref="J1:J2"/>
    <mergeCell ref="K1:K2"/>
    <mergeCell ref="M1:M2"/>
  </mergeCells>
  <conditionalFormatting sqref="I3:I8 I10:I25 I27 I29:I31 I33:I37">
    <cfRule type="cellIs" dxfId="56" priority="69" operator="greaterThan">
      <formula>$G3</formula>
    </cfRule>
  </conditionalFormatting>
  <conditionalFormatting sqref="H47:H49 H54:H57 H74:H75 G33 G46:G49 G97 G104 G111 G114:G115 G148:G155 G66:H67 G91:G92 G95 G99:G101 G35:G36 G38 G40 G42 G53:G58 G60:H62 G69:G71 G73:G75 G79:G87 G117:G146">
    <cfRule type="cellIs" dxfId="55" priority="66" operator="equal">
      <formula>TRUE</formula>
    </cfRule>
  </conditionalFormatting>
  <conditionalFormatting sqref="G96">
    <cfRule type="cellIs" dxfId="54" priority="49" operator="equal">
      <formula>TRUE</formula>
    </cfRule>
  </conditionalFormatting>
  <conditionalFormatting sqref="G103">
    <cfRule type="cellIs" dxfId="53" priority="48" operator="equal">
      <formula>TRUE</formula>
    </cfRule>
  </conditionalFormatting>
  <conditionalFormatting sqref="G107">
    <cfRule type="cellIs" dxfId="52" priority="47" operator="equal">
      <formula>TRUE</formula>
    </cfRule>
  </conditionalFormatting>
  <conditionalFormatting sqref="G109">
    <cfRule type="cellIs" dxfId="51" priority="46" operator="equal">
      <formula>TRUE</formula>
    </cfRule>
  </conditionalFormatting>
  <conditionalFormatting sqref="G112">
    <cfRule type="cellIs" dxfId="50" priority="45" operator="equal">
      <formula>TRUE</formula>
    </cfRule>
  </conditionalFormatting>
  <conditionalFormatting sqref="G113">
    <cfRule type="cellIs" dxfId="49" priority="44" operator="equal">
      <formula>TRUE</formula>
    </cfRule>
  </conditionalFormatting>
  <conditionalFormatting sqref="G116">
    <cfRule type="cellIs" dxfId="48" priority="43" operator="equal">
      <formula>TRUE</formula>
    </cfRule>
  </conditionalFormatting>
  <conditionalFormatting sqref="G147">
    <cfRule type="cellIs" dxfId="47" priority="42" operator="equal">
      <formula>TRUE</formula>
    </cfRule>
  </conditionalFormatting>
  <conditionalFormatting sqref="G168:G169">
    <cfRule type="cellIs" dxfId="46" priority="41" operator="equal">
      <formula>TRUE</formula>
    </cfRule>
  </conditionalFormatting>
  <conditionalFormatting sqref="G50:H50">
    <cfRule type="cellIs" dxfId="45" priority="40" operator="equal">
      <formula>TRUE</formula>
    </cfRule>
  </conditionalFormatting>
  <conditionalFormatting sqref="G51:H51">
    <cfRule type="cellIs" dxfId="44" priority="39" operator="equal">
      <formula>TRUE</formula>
    </cfRule>
  </conditionalFormatting>
  <conditionalFormatting sqref="G52:H52">
    <cfRule type="cellIs" dxfId="43" priority="38" operator="equal">
      <formula>TRUE</formula>
    </cfRule>
  </conditionalFormatting>
  <conditionalFormatting sqref="G59:H59">
    <cfRule type="cellIs" dxfId="42" priority="37" operator="equal">
      <formula>TRUE</formula>
    </cfRule>
  </conditionalFormatting>
  <conditionalFormatting sqref="G63:H63">
    <cfRule type="cellIs" dxfId="41" priority="36" operator="equal">
      <formula>TRUE</formula>
    </cfRule>
  </conditionalFormatting>
  <conditionalFormatting sqref="G64:H64">
    <cfRule type="cellIs" dxfId="40" priority="35" operator="equal">
      <formula>TRUE</formula>
    </cfRule>
  </conditionalFormatting>
  <conditionalFormatting sqref="G65:H65">
    <cfRule type="cellIs" dxfId="39" priority="34" operator="equal">
      <formula>TRUE</formula>
    </cfRule>
  </conditionalFormatting>
  <conditionalFormatting sqref="G68:H68">
    <cfRule type="cellIs" dxfId="38" priority="33" operator="equal">
      <formula>TRUE</formula>
    </cfRule>
  </conditionalFormatting>
  <conditionalFormatting sqref="G72:H72">
    <cfRule type="cellIs" dxfId="37" priority="32" operator="equal">
      <formula>TRUE</formula>
    </cfRule>
  </conditionalFormatting>
  <conditionalFormatting sqref="G76:H76">
    <cfRule type="cellIs" dxfId="36" priority="31" operator="equal">
      <formula>TRUE</formula>
    </cfRule>
  </conditionalFormatting>
  <conditionalFormatting sqref="G77:H77">
    <cfRule type="cellIs" dxfId="35" priority="30" operator="equal">
      <formula>TRUE</formula>
    </cfRule>
  </conditionalFormatting>
  <conditionalFormatting sqref="G78:H78">
    <cfRule type="cellIs" dxfId="34" priority="29" operator="equal">
      <formula>TRUE</formula>
    </cfRule>
  </conditionalFormatting>
  <conditionalFormatting sqref="G88">
    <cfRule type="cellIs" dxfId="33" priority="17" operator="equal">
      <formula>TRUE</formula>
    </cfRule>
  </conditionalFormatting>
  <conditionalFormatting sqref="G89">
    <cfRule type="cellIs" dxfId="32" priority="16" operator="equal">
      <formula>TRUE</formula>
    </cfRule>
  </conditionalFormatting>
  <conditionalFormatting sqref="G90">
    <cfRule type="cellIs" dxfId="31" priority="15" operator="equal">
      <formula>TRUE</formula>
    </cfRule>
  </conditionalFormatting>
  <conditionalFormatting sqref="G93">
    <cfRule type="cellIs" dxfId="30" priority="14" operator="equal">
      <formula>TRUE</formula>
    </cfRule>
  </conditionalFormatting>
  <conditionalFormatting sqref="G94">
    <cfRule type="cellIs" dxfId="29" priority="13" operator="equal">
      <formula>TRUE</formula>
    </cfRule>
  </conditionalFormatting>
  <conditionalFormatting sqref="G98">
    <cfRule type="cellIs" dxfId="28" priority="12" operator="equal">
      <formula>TRUE</formula>
    </cfRule>
  </conditionalFormatting>
  <conditionalFormatting sqref="G102">
    <cfRule type="cellIs" dxfId="27" priority="11" operator="equal">
      <formula>TRUE</formula>
    </cfRule>
  </conditionalFormatting>
  <conditionalFormatting sqref="G105">
    <cfRule type="cellIs" dxfId="26" priority="10" operator="equal">
      <formula>TRUE</formula>
    </cfRule>
  </conditionalFormatting>
  <conditionalFormatting sqref="G106">
    <cfRule type="cellIs" dxfId="25" priority="9" operator="equal">
      <formula>TRUE</formula>
    </cfRule>
  </conditionalFormatting>
  <conditionalFormatting sqref="G108">
    <cfRule type="cellIs" dxfId="24" priority="8" operator="equal">
      <formula>TRUE</formula>
    </cfRule>
  </conditionalFormatting>
  <conditionalFormatting sqref="G110">
    <cfRule type="cellIs" dxfId="23" priority="7" operator="equal">
      <formula>TRUE</formula>
    </cfRule>
  </conditionalFormatting>
  <conditionalFormatting sqref="I9">
    <cfRule type="cellIs" dxfId="22" priority="6" operator="greaterThan">
      <formula>$G9</formula>
    </cfRule>
  </conditionalFormatting>
  <conditionalFormatting sqref="I28">
    <cfRule type="cellIs" dxfId="21" priority="4" operator="greaterThan">
      <formula>$G28</formula>
    </cfRule>
  </conditionalFormatting>
  <conditionalFormatting sqref="I32">
    <cfRule type="cellIs" dxfId="20" priority="3" operator="greaterThan">
      <formula>$G32</formula>
    </cfRule>
  </conditionalFormatting>
  <conditionalFormatting sqref="I41">
    <cfRule type="cellIs" dxfId="19" priority="2" operator="greaterThan">
      <formula>$G41</formula>
    </cfRule>
  </conditionalFormatting>
  <conditionalFormatting sqref="I26">
    <cfRule type="cellIs" dxfId="18" priority="1" operator="greaterThan">
      <formula>$G26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9"/>
  <dimension ref="A1:AD98"/>
  <sheetViews>
    <sheetView workbookViewId="0">
      <selection activeCell="O14" sqref="O14"/>
    </sheetView>
  </sheetViews>
  <sheetFormatPr defaultRowHeight="14.4"/>
  <cols>
    <col min="5" max="5" width="10.6640625" bestFit="1" customWidth="1"/>
  </cols>
  <sheetData>
    <row r="1" spans="1:30" s="58" customFormat="1" ht="44.25" customHeight="1">
      <c r="A1" s="566" t="s">
        <v>27</v>
      </c>
      <c r="B1" s="567"/>
      <c r="C1" s="567"/>
      <c r="D1" s="567"/>
      <c r="E1" s="69">
        <v>25</v>
      </c>
      <c r="G1" s="566" t="s">
        <v>197</v>
      </c>
      <c r="H1" s="567"/>
      <c r="I1" s="567"/>
      <c r="J1" s="567"/>
      <c r="K1" s="69">
        <v>37</v>
      </c>
      <c r="M1" s="566" t="s">
        <v>63</v>
      </c>
      <c r="N1" s="567"/>
      <c r="O1" s="567"/>
      <c r="P1" s="567"/>
      <c r="Q1" s="69">
        <v>50</v>
      </c>
      <c r="R1"/>
      <c r="S1" s="566" t="s">
        <v>209</v>
      </c>
      <c r="T1" s="567"/>
      <c r="U1" s="567"/>
      <c r="V1" s="567"/>
      <c r="W1" s="69">
        <v>100</v>
      </c>
      <c r="X1"/>
      <c r="Y1" s="566" t="s">
        <v>198</v>
      </c>
      <c r="Z1" s="567"/>
      <c r="AA1" s="567"/>
      <c r="AB1" s="567"/>
      <c r="AC1" s="69">
        <v>50</v>
      </c>
      <c r="AD1"/>
    </row>
    <row r="2" spans="1:30" ht="23.25" customHeight="1">
      <c r="A2" s="568" t="s">
        <v>195</v>
      </c>
      <c r="B2" s="569"/>
      <c r="C2" s="570" t="s">
        <v>62</v>
      </c>
      <c r="D2" s="570"/>
      <c r="E2" s="70" t="s">
        <v>196</v>
      </c>
      <c r="G2" s="568" t="s">
        <v>195</v>
      </c>
      <c r="H2" s="569"/>
      <c r="I2" s="570" t="s">
        <v>62</v>
      </c>
      <c r="J2" s="570"/>
      <c r="K2" s="70" t="s">
        <v>196</v>
      </c>
      <c r="M2" s="568" t="s">
        <v>195</v>
      </c>
      <c r="N2" s="569"/>
      <c r="O2" s="570" t="s">
        <v>62</v>
      </c>
      <c r="P2" s="570"/>
      <c r="Q2" s="70" t="s">
        <v>196</v>
      </c>
      <c r="S2" s="568" t="s">
        <v>195</v>
      </c>
      <c r="T2" s="569"/>
      <c r="U2" s="570" t="s">
        <v>62</v>
      </c>
      <c r="V2" s="570"/>
      <c r="W2" s="70" t="s">
        <v>196</v>
      </c>
      <c r="Y2" s="568" t="s">
        <v>195</v>
      </c>
      <c r="Z2" s="569"/>
      <c r="AA2" s="570" t="s">
        <v>62</v>
      </c>
      <c r="AB2" s="570"/>
      <c r="AC2" s="70" t="s">
        <v>196</v>
      </c>
    </row>
    <row r="3" spans="1:30" s="58" customFormat="1" ht="21.75" customHeight="1">
      <c r="A3" s="71">
        <v>0</v>
      </c>
      <c r="B3" s="59">
        <v>8</v>
      </c>
      <c r="C3" s="60">
        <f>A3/$E$1</f>
        <v>0</v>
      </c>
      <c r="D3" s="61">
        <f t="shared" ref="D3:D13" si="0">B3/$E$1</f>
        <v>0.32</v>
      </c>
      <c r="E3" s="72">
        <v>1</v>
      </c>
      <c r="G3" s="71">
        <v>0</v>
      </c>
      <c r="H3" s="59">
        <v>11</v>
      </c>
      <c r="I3" s="60">
        <f t="shared" ref="I3:I15" si="1">G3/$K$1</f>
        <v>0</v>
      </c>
      <c r="J3" s="61">
        <f t="shared" ref="J3:J15" si="2">H3/$K$1</f>
        <v>0.29729729729729731</v>
      </c>
      <c r="K3" s="72">
        <v>1</v>
      </c>
      <c r="M3" s="71">
        <v>0</v>
      </c>
      <c r="N3" s="59">
        <v>17</v>
      </c>
      <c r="O3" s="60">
        <f t="shared" ref="O3:O15" si="3">M3/$Q$1</f>
        <v>0</v>
      </c>
      <c r="P3" s="61">
        <f t="shared" ref="P3:P15" si="4">N3/$Q$1</f>
        <v>0.34</v>
      </c>
      <c r="Q3" s="72">
        <v>1</v>
      </c>
      <c r="R3"/>
      <c r="S3" s="71">
        <v>0</v>
      </c>
      <c r="T3" s="59">
        <v>29.9</v>
      </c>
      <c r="U3" s="60">
        <f t="shared" ref="U3:U8" si="5">S3/$W$1</f>
        <v>0</v>
      </c>
      <c r="V3" s="61">
        <f t="shared" ref="V3:V8" si="6">T3/$W$1</f>
        <v>0.29899999999999999</v>
      </c>
      <c r="W3" s="72">
        <v>1</v>
      </c>
      <c r="X3"/>
      <c r="Y3" s="71">
        <v>0</v>
      </c>
      <c r="Z3" s="59">
        <v>14</v>
      </c>
      <c r="AA3" s="60">
        <f t="shared" ref="AA3:AA15" si="7">Y3/$AC$1</f>
        <v>0</v>
      </c>
      <c r="AB3" s="61">
        <f t="shared" ref="AB3:AB15" si="8">Z3/$AC$1</f>
        <v>0.28000000000000003</v>
      </c>
      <c r="AC3" s="72">
        <v>1</v>
      </c>
      <c r="AD3"/>
    </row>
    <row r="4" spans="1:30" s="58" customFormat="1" ht="21.75" customHeight="1">
      <c r="A4" s="73">
        <v>9</v>
      </c>
      <c r="B4" s="63">
        <v>11</v>
      </c>
      <c r="C4" s="64">
        <f t="shared" ref="C4:C13" si="9">A4/$E$1</f>
        <v>0.36</v>
      </c>
      <c r="D4" s="65">
        <f t="shared" si="0"/>
        <v>0.44</v>
      </c>
      <c r="E4" s="74">
        <v>2</v>
      </c>
      <c r="G4" s="73">
        <v>12</v>
      </c>
      <c r="H4" s="63">
        <v>16</v>
      </c>
      <c r="I4" s="64">
        <f t="shared" si="1"/>
        <v>0.32432432432432434</v>
      </c>
      <c r="J4" s="65">
        <f t="shared" si="2"/>
        <v>0.43243243243243246</v>
      </c>
      <c r="K4" s="74">
        <v>2</v>
      </c>
      <c r="M4" s="73">
        <v>18</v>
      </c>
      <c r="N4" s="63">
        <v>22</v>
      </c>
      <c r="O4" s="64">
        <f t="shared" si="3"/>
        <v>0.36</v>
      </c>
      <c r="P4" s="65">
        <f t="shared" si="4"/>
        <v>0.44</v>
      </c>
      <c r="Q4" s="74">
        <v>2</v>
      </c>
      <c r="R4"/>
      <c r="S4" s="73">
        <v>30</v>
      </c>
      <c r="T4" s="63">
        <v>49.9</v>
      </c>
      <c r="U4" s="64">
        <f t="shared" si="5"/>
        <v>0.3</v>
      </c>
      <c r="V4" s="65">
        <f t="shared" si="6"/>
        <v>0.499</v>
      </c>
      <c r="W4" s="74">
        <v>2</v>
      </c>
      <c r="X4"/>
      <c r="Y4" s="73">
        <v>15</v>
      </c>
      <c r="Z4" s="63">
        <v>22</v>
      </c>
      <c r="AA4" s="64">
        <f t="shared" si="7"/>
        <v>0.3</v>
      </c>
      <c r="AB4" s="65">
        <f t="shared" si="8"/>
        <v>0.44</v>
      </c>
      <c r="AC4" s="74">
        <v>2</v>
      </c>
      <c r="AD4"/>
    </row>
    <row r="5" spans="1:30" s="58" customFormat="1" ht="21.75" customHeight="1">
      <c r="A5" s="73">
        <v>12</v>
      </c>
      <c r="B5" s="63">
        <v>12</v>
      </c>
      <c r="C5" s="64">
        <f t="shared" si="9"/>
        <v>0.48</v>
      </c>
      <c r="D5" s="65">
        <f t="shared" si="0"/>
        <v>0.48</v>
      </c>
      <c r="E5" s="74" t="s">
        <v>35</v>
      </c>
      <c r="G5" s="73">
        <v>17</v>
      </c>
      <c r="H5" s="63">
        <v>18</v>
      </c>
      <c r="I5" s="64">
        <f t="shared" si="1"/>
        <v>0.45945945945945948</v>
      </c>
      <c r="J5" s="65">
        <f t="shared" si="2"/>
        <v>0.48648648648648651</v>
      </c>
      <c r="K5" s="74" t="s">
        <v>35</v>
      </c>
      <c r="M5" s="73">
        <v>23</v>
      </c>
      <c r="N5" s="63">
        <v>25</v>
      </c>
      <c r="O5" s="64">
        <f t="shared" si="3"/>
        <v>0.46</v>
      </c>
      <c r="P5" s="65">
        <f t="shared" si="4"/>
        <v>0.5</v>
      </c>
      <c r="Q5" s="74" t="s">
        <v>35</v>
      </c>
      <c r="R5"/>
      <c r="S5" s="73">
        <v>50</v>
      </c>
      <c r="T5" s="63">
        <v>68.900000000000006</v>
      </c>
      <c r="U5" s="64">
        <f t="shared" si="5"/>
        <v>0.5</v>
      </c>
      <c r="V5" s="65">
        <f t="shared" si="6"/>
        <v>0.68900000000000006</v>
      </c>
      <c r="W5" s="74">
        <v>3</v>
      </c>
      <c r="X5"/>
      <c r="Y5" s="73">
        <v>23</v>
      </c>
      <c r="Z5" s="63">
        <v>24</v>
      </c>
      <c r="AA5" s="64">
        <f t="shared" si="7"/>
        <v>0.46</v>
      </c>
      <c r="AB5" s="65">
        <f t="shared" si="8"/>
        <v>0.48</v>
      </c>
      <c r="AC5" s="74" t="s">
        <v>35</v>
      </c>
      <c r="AD5"/>
    </row>
    <row r="6" spans="1:30" s="58" customFormat="1" ht="21.75" customHeight="1">
      <c r="A6" s="73">
        <v>13</v>
      </c>
      <c r="B6" s="63">
        <v>13</v>
      </c>
      <c r="C6" s="64">
        <f t="shared" si="9"/>
        <v>0.52</v>
      </c>
      <c r="D6" s="65">
        <f t="shared" si="0"/>
        <v>0.52</v>
      </c>
      <c r="E6" s="74" t="s">
        <v>31</v>
      </c>
      <c r="G6" s="73">
        <v>19</v>
      </c>
      <c r="H6" s="63">
        <v>20</v>
      </c>
      <c r="I6" s="64">
        <f t="shared" si="1"/>
        <v>0.51351351351351349</v>
      </c>
      <c r="J6" s="65">
        <f t="shared" si="2"/>
        <v>0.54054054054054057</v>
      </c>
      <c r="K6" s="74" t="s">
        <v>31</v>
      </c>
      <c r="M6" s="73">
        <v>26</v>
      </c>
      <c r="N6" s="63">
        <v>27</v>
      </c>
      <c r="O6" s="64">
        <f t="shared" si="3"/>
        <v>0.52</v>
      </c>
      <c r="P6" s="65">
        <f t="shared" si="4"/>
        <v>0.54</v>
      </c>
      <c r="Q6" s="74" t="s">
        <v>31</v>
      </c>
      <c r="R6"/>
      <c r="S6" s="73">
        <v>69</v>
      </c>
      <c r="T6" s="63">
        <v>82.4</v>
      </c>
      <c r="U6" s="64">
        <f t="shared" si="5"/>
        <v>0.69</v>
      </c>
      <c r="V6" s="65">
        <f t="shared" si="6"/>
        <v>0.82400000000000007</v>
      </c>
      <c r="W6" s="74">
        <v>4</v>
      </c>
      <c r="X6"/>
      <c r="Y6" s="73">
        <v>25</v>
      </c>
      <c r="Z6" s="63">
        <v>27</v>
      </c>
      <c r="AA6" s="64">
        <f t="shared" si="7"/>
        <v>0.5</v>
      </c>
      <c r="AB6" s="65">
        <f t="shared" si="8"/>
        <v>0.54</v>
      </c>
      <c r="AC6" s="74" t="s">
        <v>31</v>
      </c>
      <c r="AD6"/>
    </row>
    <row r="7" spans="1:30" s="58" customFormat="1" ht="21.75" customHeight="1">
      <c r="A7" s="73">
        <v>14</v>
      </c>
      <c r="B7" s="63">
        <v>16</v>
      </c>
      <c r="C7" s="64">
        <f t="shared" si="9"/>
        <v>0.56000000000000005</v>
      </c>
      <c r="D7" s="65">
        <f t="shared" si="0"/>
        <v>0.64</v>
      </c>
      <c r="E7" s="74">
        <v>3</v>
      </c>
      <c r="G7" s="73">
        <v>21</v>
      </c>
      <c r="H7" s="63">
        <v>25</v>
      </c>
      <c r="I7" s="64">
        <f t="shared" si="1"/>
        <v>0.56756756756756754</v>
      </c>
      <c r="J7" s="65">
        <f t="shared" si="2"/>
        <v>0.67567567567567566</v>
      </c>
      <c r="K7" s="74">
        <v>3</v>
      </c>
      <c r="M7" s="73">
        <v>28</v>
      </c>
      <c r="N7" s="63">
        <v>30</v>
      </c>
      <c r="O7" s="64">
        <f t="shared" si="3"/>
        <v>0.56000000000000005</v>
      </c>
      <c r="P7" s="65">
        <f t="shared" si="4"/>
        <v>0.6</v>
      </c>
      <c r="Q7" s="74">
        <v>3</v>
      </c>
      <c r="R7"/>
      <c r="S7" s="73">
        <v>82.5</v>
      </c>
      <c r="T7" s="63">
        <v>94.9</v>
      </c>
      <c r="U7" s="64">
        <f t="shared" si="5"/>
        <v>0.82499999999999996</v>
      </c>
      <c r="V7" s="65">
        <f t="shared" si="6"/>
        <v>0.94900000000000007</v>
      </c>
      <c r="W7" s="74">
        <v>5</v>
      </c>
      <c r="X7"/>
      <c r="Y7" s="73">
        <v>28</v>
      </c>
      <c r="Z7" s="63">
        <v>31</v>
      </c>
      <c r="AA7" s="64">
        <f t="shared" si="7"/>
        <v>0.56000000000000005</v>
      </c>
      <c r="AB7" s="65">
        <f t="shared" si="8"/>
        <v>0.62</v>
      </c>
      <c r="AC7" s="74">
        <v>3</v>
      </c>
      <c r="AD7"/>
    </row>
    <row r="8" spans="1:30" s="58" customFormat="1" ht="21.75" customHeight="1" thickBot="1">
      <c r="A8" s="73">
        <v>17</v>
      </c>
      <c r="B8" s="63">
        <v>17</v>
      </c>
      <c r="C8" s="64">
        <f t="shared" si="9"/>
        <v>0.68</v>
      </c>
      <c r="D8" s="65">
        <f t="shared" si="0"/>
        <v>0.68</v>
      </c>
      <c r="E8" s="74" t="s">
        <v>32</v>
      </c>
      <c r="G8" s="73">
        <v>26</v>
      </c>
      <c r="H8" s="63">
        <v>26</v>
      </c>
      <c r="I8" s="64">
        <f t="shared" si="1"/>
        <v>0.70270270270270274</v>
      </c>
      <c r="J8" s="65">
        <f t="shared" si="2"/>
        <v>0.70270270270270274</v>
      </c>
      <c r="K8" s="74" t="s">
        <v>32</v>
      </c>
      <c r="M8" s="73">
        <v>31</v>
      </c>
      <c r="N8" s="63">
        <v>32</v>
      </c>
      <c r="O8" s="64">
        <f t="shared" si="3"/>
        <v>0.62</v>
      </c>
      <c r="P8" s="65">
        <f t="shared" si="4"/>
        <v>0.64</v>
      </c>
      <c r="Q8" s="74" t="s">
        <v>32</v>
      </c>
      <c r="R8"/>
      <c r="S8" s="75">
        <v>95</v>
      </c>
      <c r="T8" s="76">
        <v>100</v>
      </c>
      <c r="U8" s="80">
        <f t="shared" si="5"/>
        <v>0.95</v>
      </c>
      <c r="V8" s="81">
        <f t="shared" si="6"/>
        <v>1</v>
      </c>
      <c r="W8" s="79">
        <v>6</v>
      </c>
      <c r="X8"/>
      <c r="Y8" s="73">
        <v>32</v>
      </c>
      <c r="Z8" s="63">
        <v>33</v>
      </c>
      <c r="AA8" s="64">
        <f t="shared" si="7"/>
        <v>0.64</v>
      </c>
      <c r="AB8" s="65">
        <f t="shared" si="8"/>
        <v>0.66</v>
      </c>
      <c r="AC8" s="74" t="s">
        <v>32</v>
      </c>
      <c r="AD8"/>
    </row>
    <row r="9" spans="1:30" s="58" customFormat="1" ht="21.75" customHeight="1">
      <c r="A9" s="73">
        <v>18</v>
      </c>
      <c r="B9" s="63">
        <v>18</v>
      </c>
      <c r="C9" s="64">
        <f t="shared" si="9"/>
        <v>0.72</v>
      </c>
      <c r="D9" s="65">
        <f t="shared" si="0"/>
        <v>0.72</v>
      </c>
      <c r="E9" s="74" t="s">
        <v>30</v>
      </c>
      <c r="G9" s="73">
        <v>27</v>
      </c>
      <c r="H9" s="63">
        <v>27</v>
      </c>
      <c r="I9" s="64">
        <f t="shared" si="1"/>
        <v>0.72972972972972971</v>
      </c>
      <c r="J9" s="65">
        <f t="shared" si="2"/>
        <v>0.72972972972972971</v>
      </c>
      <c r="K9" s="74" t="s">
        <v>30</v>
      </c>
      <c r="M9" s="73">
        <v>33</v>
      </c>
      <c r="N9" s="63">
        <v>34</v>
      </c>
      <c r="O9" s="64">
        <f t="shared" si="3"/>
        <v>0.66</v>
      </c>
      <c r="P9" s="65">
        <f t="shared" si="4"/>
        <v>0.68</v>
      </c>
      <c r="Q9" s="74" t="s">
        <v>30</v>
      </c>
      <c r="R9"/>
      <c r="S9"/>
      <c r="T9"/>
      <c r="U9"/>
      <c r="V9"/>
      <c r="W9"/>
      <c r="X9"/>
      <c r="Y9" s="73">
        <v>34</v>
      </c>
      <c r="Z9" s="63">
        <v>35</v>
      </c>
      <c r="AA9" s="64">
        <f t="shared" si="7"/>
        <v>0.68</v>
      </c>
      <c r="AB9" s="65">
        <f t="shared" si="8"/>
        <v>0.7</v>
      </c>
      <c r="AC9" s="74" t="s">
        <v>30</v>
      </c>
      <c r="AD9"/>
    </row>
    <row r="10" spans="1:30" s="58" customFormat="1" ht="21.75" customHeight="1">
      <c r="A10" s="73">
        <v>19</v>
      </c>
      <c r="B10" s="63">
        <v>21</v>
      </c>
      <c r="C10" s="64">
        <f t="shared" si="9"/>
        <v>0.76</v>
      </c>
      <c r="D10" s="65">
        <f t="shared" si="0"/>
        <v>0.84</v>
      </c>
      <c r="E10" s="74">
        <v>4</v>
      </c>
      <c r="G10" s="73">
        <v>28</v>
      </c>
      <c r="H10" s="63">
        <v>30</v>
      </c>
      <c r="I10" s="64">
        <f t="shared" si="1"/>
        <v>0.7567567567567568</v>
      </c>
      <c r="J10" s="65">
        <f t="shared" si="2"/>
        <v>0.81081081081081086</v>
      </c>
      <c r="K10" s="74">
        <v>4</v>
      </c>
      <c r="M10" s="73">
        <v>35</v>
      </c>
      <c r="N10" s="63">
        <v>38</v>
      </c>
      <c r="O10" s="64">
        <f t="shared" si="3"/>
        <v>0.7</v>
      </c>
      <c r="P10" s="65">
        <f t="shared" si="4"/>
        <v>0.76</v>
      </c>
      <c r="Q10" s="74">
        <v>4</v>
      </c>
      <c r="R10"/>
      <c r="S10"/>
      <c r="T10"/>
      <c r="U10"/>
      <c r="V10"/>
      <c r="W10"/>
      <c r="X10"/>
      <c r="Y10" s="73">
        <v>36</v>
      </c>
      <c r="Z10" s="63">
        <v>39</v>
      </c>
      <c r="AA10" s="64">
        <f t="shared" si="7"/>
        <v>0.72</v>
      </c>
      <c r="AB10" s="65">
        <f t="shared" si="8"/>
        <v>0.78</v>
      </c>
      <c r="AC10" s="74">
        <v>4</v>
      </c>
      <c r="AD10"/>
    </row>
    <row r="11" spans="1:30" s="58" customFormat="1" ht="21.75" customHeight="1">
      <c r="A11" s="73">
        <v>22</v>
      </c>
      <c r="B11" s="63">
        <v>22</v>
      </c>
      <c r="C11" s="64">
        <f t="shared" si="9"/>
        <v>0.88</v>
      </c>
      <c r="D11" s="65">
        <f t="shared" si="0"/>
        <v>0.88</v>
      </c>
      <c r="E11" s="74" t="s">
        <v>34</v>
      </c>
      <c r="G11" s="73">
        <v>31</v>
      </c>
      <c r="H11" s="63">
        <v>31</v>
      </c>
      <c r="I11" s="64">
        <f t="shared" si="1"/>
        <v>0.83783783783783783</v>
      </c>
      <c r="J11" s="65">
        <f t="shared" si="2"/>
        <v>0.83783783783783783</v>
      </c>
      <c r="K11" s="74" t="s">
        <v>34</v>
      </c>
      <c r="M11" s="73">
        <v>39</v>
      </c>
      <c r="N11" s="63">
        <v>40</v>
      </c>
      <c r="O11" s="64">
        <f t="shared" si="3"/>
        <v>0.78</v>
      </c>
      <c r="P11" s="65">
        <f t="shared" si="4"/>
        <v>0.8</v>
      </c>
      <c r="Q11" s="74" t="s">
        <v>34</v>
      </c>
      <c r="R11"/>
      <c r="S11"/>
      <c r="T11"/>
      <c r="U11"/>
      <c r="V11"/>
      <c r="W11"/>
      <c r="X11"/>
      <c r="Y11" s="73">
        <v>40</v>
      </c>
      <c r="Z11" s="63">
        <v>41</v>
      </c>
      <c r="AA11" s="64">
        <f t="shared" si="7"/>
        <v>0.8</v>
      </c>
      <c r="AB11" s="65">
        <f t="shared" si="8"/>
        <v>0.82</v>
      </c>
      <c r="AC11" s="74" t="s">
        <v>34</v>
      </c>
      <c r="AD11"/>
    </row>
    <row r="12" spans="1:30" s="58" customFormat="1" ht="21.75" customHeight="1">
      <c r="A12" s="73">
        <v>23</v>
      </c>
      <c r="B12" s="63">
        <v>23</v>
      </c>
      <c r="C12" s="64">
        <f t="shared" si="9"/>
        <v>0.92</v>
      </c>
      <c r="D12" s="65">
        <f t="shared" si="0"/>
        <v>0.92</v>
      </c>
      <c r="E12" s="74" t="s">
        <v>33</v>
      </c>
      <c r="G12" s="73">
        <v>32</v>
      </c>
      <c r="H12" s="63">
        <v>32</v>
      </c>
      <c r="I12" s="64">
        <f t="shared" si="1"/>
        <v>0.86486486486486491</v>
      </c>
      <c r="J12" s="65">
        <f t="shared" si="2"/>
        <v>0.86486486486486491</v>
      </c>
      <c r="K12" s="74" t="s">
        <v>33</v>
      </c>
      <c r="M12" s="73">
        <v>41</v>
      </c>
      <c r="N12" s="63">
        <v>42</v>
      </c>
      <c r="O12" s="64">
        <f t="shared" si="3"/>
        <v>0.82</v>
      </c>
      <c r="P12" s="65">
        <f t="shared" si="4"/>
        <v>0.84</v>
      </c>
      <c r="Q12" s="74" t="s">
        <v>33</v>
      </c>
      <c r="R12"/>
      <c r="S12"/>
      <c r="T12"/>
      <c r="U12"/>
      <c r="V12"/>
      <c r="W12"/>
      <c r="X12"/>
      <c r="Y12" s="73">
        <v>42</v>
      </c>
      <c r="Z12" s="63">
        <v>43</v>
      </c>
      <c r="AA12" s="64">
        <f t="shared" si="7"/>
        <v>0.84</v>
      </c>
      <c r="AB12" s="65">
        <f t="shared" si="8"/>
        <v>0.86</v>
      </c>
      <c r="AC12" s="74" t="s">
        <v>33</v>
      </c>
      <c r="AD12"/>
    </row>
    <row r="13" spans="1:30" s="58" customFormat="1" ht="21.75" customHeight="1">
      <c r="A13" s="73">
        <v>24</v>
      </c>
      <c r="B13" s="63">
        <v>25</v>
      </c>
      <c r="C13" s="64">
        <f t="shared" si="9"/>
        <v>0.96</v>
      </c>
      <c r="D13" s="65">
        <f t="shared" si="0"/>
        <v>1</v>
      </c>
      <c r="E13" s="74">
        <v>5</v>
      </c>
      <c r="G13" s="73">
        <v>33</v>
      </c>
      <c r="H13" s="63">
        <v>35</v>
      </c>
      <c r="I13" s="67">
        <f t="shared" si="1"/>
        <v>0.89189189189189189</v>
      </c>
      <c r="J13" s="68">
        <f t="shared" si="2"/>
        <v>0.94594594594594594</v>
      </c>
      <c r="K13" s="74">
        <v>5</v>
      </c>
      <c r="M13" s="73">
        <v>43</v>
      </c>
      <c r="N13" s="63">
        <v>46</v>
      </c>
      <c r="O13" s="64">
        <f t="shared" si="3"/>
        <v>0.86</v>
      </c>
      <c r="P13" s="65">
        <f t="shared" si="4"/>
        <v>0.92</v>
      </c>
      <c r="Q13" s="74">
        <v>5</v>
      </c>
      <c r="R13"/>
      <c r="S13"/>
      <c r="T13">
        <v>36.5</v>
      </c>
      <c r="U13">
        <v>37</v>
      </c>
      <c r="V13" s="346">
        <f>T13/U13</f>
        <v>0.98648648648648651</v>
      </c>
      <c r="W13"/>
      <c r="X13"/>
      <c r="Y13" s="73">
        <v>44</v>
      </c>
      <c r="Z13" s="63">
        <v>47</v>
      </c>
      <c r="AA13" s="64">
        <f t="shared" si="7"/>
        <v>0.88</v>
      </c>
      <c r="AB13" s="65">
        <f t="shared" si="8"/>
        <v>0.94</v>
      </c>
      <c r="AC13" s="74">
        <v>5</v>
      </c>
      <c r="AD13"/>
    </row>
    <row r="14" spans="1:30" s="58" customFormat="1" ht="21.75" customHeight="1">
      <c r="A14" s="73"/>
      <c r="B14" s="63"/>
      <c r="C14" s="62"/>
      <c r="D14" s="66"/>
      <c r="E14" s="74" t="s">
        <v>36</v>
      </c>
      <c r="G14" s="73">
        <v>36</v>
      </c>
      <c r="H14" s="63">
        <v>36</v>
      </c>
      <c r="I14" s="67">
        <f t="shared" si="1"/>
        <v>0.97297297297297303</v>
      </c>
      <c r="J14" s="68">
        <f t="shared" si="2"/>
        <v>0.97297297297297303</v>
      </c>
      <c r="K14" s="74" t="s">
        <v>36</v>
      </c>
      <c r="M14" s="73">
        <v>47</v>
      </c>
      <c r="N14" s="63">
        <v>48</v>
      </c>
      <c r="O14" s="67">
        <f t="shared" si="3"/>
        <v>0.94</v>
      </c>
      <c r="P14" s="68">
        <f t="shared" si="4"/>
        <v>0.96</v>
      </c>
      <c r="Q14" s="74" t="s">
        <v>36</v>
      </c>
      <c r="R14"/>
      <c r="S14"/>
      <c r="T14"/>
      <c r="U14"/>
      <c r="V14"/>
      <c r="W14"/>
      <c r="X14"/>
      <c r="Y14" s="73">
        <v>48</v>
      </c>
      <c r="Z14" s="63">
        <v>49</v>
      </c>
      <c r="AA14" s="67">
        <f t="shared" si="7"/>
        <v>0.96</v>
      </c>
      <c r="AB14" s="68">
        <f t="shared" si="8"/>
        <v>0.98</v>
      </c>
      <c r="AC14" s="74" t="s">
        <v>36</v>
      </c>
      <c r="AD14"/>
    </row>
    <row r="15" spans="1:30" s="58" customFormat="1" ht="21.75" customHeight="1" thickBot="1">
      <c r="A15" s="75"/>
      <c r="B15" s="76"/>
      <c r="C15" s="77"/>
      <c r="D15" s="78"/>
      <c r="E15" s="79">
        <v>6</v>
      </c>
      <c r="G15" s="75">
        <v>37</v>
      </c>
      <c r="H15" s="76">
        <v>37</v>
      </c>
      <c r="I15" s="80">
        <f t="shared" si="1"/>
        <v>1</v>
      </c>
      <c r="J15" s="81">
        <f t="shared" si="2"/>
        <v>1</v>
      </c>
      <c r="K15" s="79">
        <v>6</v>
      </c>
      <c r="M15" s="75">
        <v>49</v>
      </c>
      <c r="N15" s="76">
        <v>50</v>
      </c>
      <c r="O15" s="80">
        <f t="shared" si="3"/>
        <v>0.98</v>
      </c>
      <c r="P15" s="81">
        <f t="shared" si="4"/>
        <v>1</v>
      </c>
      <c r="Q15" s="79">
        <v>6</v>
      </c>
      <c r="R15"/>
      <c r="S15"/>
      <c r="T15"/>
      <c r="U15"/>
      <c r="V15"/>
      <c r="W15"/>
      <c r="X15"/>
      <c r="Y15" s="75">
        <v>50</v>
      </c>
      <c r="Z15" s="76">
        <v>50</v>
      </c>
      <c r="AA15" s="80">
        <f t="shared" si="7"/>
        <v>1</v>
      </c>
      <c r="AB15" s="81">
        <f t="shared" si="8"/>
        <v>1</v>
      </c>
      <c r="AC15" s="79">
        <v>6</v>
      </c>
      <c r="AD15"/>
    </row>
    <row r="16" spans="1:30" ht="15" thickBot="1">
      <c r="E16" s="34"/>
    </row>
    <row r="17" spans="1:17" ht="23.25" customHeight="1">
      <c r="A17" s="571" t="s">
        <v>302</v>
      </c>
      <c r="B17" s="572"/>
      <c r="C17" s="572"/>
      <c r="D17" s="572"/>
      <c r="E17" s="69">
        <v>25</v>
      </c>
      <c r="G17" s="571" t="s">
        <v>306</v>
      </c>
      <c r="H17" s="572"/>
      <c r="I17" s="572"/>
      <c r="J17" s="572"/>
      <c r="K17" s="69">
        <v>20</v>
      </c>
      <c r="M17" s="571" t="s">
        <v>199</v>
      </c>
      <c r="N17" s="572"/>
      <c r="O17" s="572"/>
      <c r="P17" s="572"/>
      <c r="Q17" s="69">
        <v>36</v>
      </c>
    </row>
    <row r="18" spans="1:17" ht="21.75" customHeight="1">
      <c r="A18" s="568" t="s">
        <v>195</v>
      </c>
      <c r="B18" s="569"/>
      <c r="C18" s="570" t="s">
        <v>62</v>
      </c>
      <c r="D18" s="570"/>
      <c r="E18" s="70" t="s">
        <v>196</v>
      </c>
      <c r="G18" s="568" t="s">
        <v>195</v>
      </c>
      <c r="H18" s="569"/>
      <c r="I18" s="570" t="s">
        <v>62</v>
      </c>
      <c r="J18" s="570"/>
      <c r="K18" s="70" t="s">
        <v>196</v>
      </c>
      <c r="M18" s="568" t="s">
        <v>195</v>
      </c>
      <c r="N18" s="569"/>
      <c r="O18" s="570" t="s">
        <v>62</v>
      </c>
      <c r="P18" s="570"/>
      <c r="Q18" s="70" t="s">
        <v>196</v>
      </c>
    </row>
    <row r="19" spans="1:17" ht="21.75" customHeight="1">
      <c r="A19" s="71">
        <v>0</v>
      </c>
      <c r="B19" s="59">
        <v>8</v>
      </c>
      <c r="C19" s="60">
        <f t="shared" ref="C19:C30" si="10">A19/$E$17</f>
        <v>0</v>
      </c>
      <c r="D19" s="61">
        <f t="shared" ref="D19:D30" si="11">B19/$E$17</f>
        <v>0.32</v>
      </c>
      <c r="E19" s="72">
        <v>1</v>
      </c>
      <c r="G19" s="71">
        <v>0</v>
      </c>
      <c r="H19" s="59">
        <v>5</v>
      </c>
      <c r="I19" s="60">
        <f>G19/$K$17</f>
        <v>0</v>
      </c>
      <c r="J19" s="61">
        <f>H19/$K$17</f>
        <v>0.25</v>
      </c>
      <c r="K19" s="72">
        <v>1</v>
      </c>
      <c r="M19" s="71">
        <v>0</v>
      </c>
      <c r="N19" s="59">
        <v>10</v>
      </c>
      <c r="O19" s="60">
        <f t="shared" ref="O19:O31" si="12">M19/$K$17</f>
        <v>0</v>
      </c>
      <c r="P19" s="61">
        <f t="shared" ref="P19:P31" si="13">N19/$K$17</f>
        <v>0.5</v>
      </c>
      <c r="Q19" s="72">
        <v>1</v>
      </c>
    </row>
    <row r="20" spans="1:17" ht="21.75" customHeight="1">
      <c r="A20" s="73">
        <v>9</v>
      </c>
      <c r="B20" s="63">
        <v>11</v>
      </c>
      <c r="C20" s="64">
        <f t="shared" si="10"/>
        <v>0.36</v>
      </c>
      <c r="D20" s="65">
        <f t="shared" si="11"/>
        <v>0.44</v>
      </c>
      <c r="E20" s="74">
        <v>2</v>
      </c>
      <c r="G20" s="73">
        <v>6</v>
      </c>
      <c r="H20" s="63">
        <v>8</v>
      </c>
      <c r="I20" s="64">
        <f t="shared" ref="I20:I31" si="14">G20/$K$17</f>
        <v>0.3</v>
      </c>
      <c r="J20" s="65">
        <f t="shared" ref="J20:J31" si="15">H20/$K$17</f>
        <v>0.4</v>
      </c>
      <c r="K20" s="74">
        <v>2</v>
      </c>
      <c r="M20" s="73">
        <v>11</v>
      </c>
      <c r="N20" s="63">
        <v>16</v>
      </c>
      <c r="O20" s="64">
        <f t="shared" si="12"/>
        <v>0.55000000000000004</v>
      </c>
      <c r="P20" s="65">
        <f t="shared" si="13"/>
        <v>0.8</v>
      </c>
      <c r="Q20" s="74">
        <v>2</v>
      </c>
    </row>
    <row r="21" spans="1:17" ht="21.75" customHeight="1">
      <c r="A21" s="73">
        <v>12</v>
      </c>
      <c r="B21" s="63">
        <v>12</v>
      </c>
      <c r="C21" s="64">
        <f t="shared" si="10"/>
        <v>0.48</v>
      </c>
      <c r="D21" s="65">
        <f t="shared" si="11"/>
        <v>0.48</v>
      </c>
      <c r="E21" s="74" t="s">
        <v>35</v>
      </c>
      <c r="G21" s="73">
        <v>9</v>
      </c>
      <c r="H21" s="63">
        <v>9</v>
      </c>
      <c r="I21" s="64">
        <f t="shared" si="14"/>
        <v>0.45</v>
      </c>
      <c r="J21" s="65">
        <f t="shared" si="15"/>
        <v>0.45</v>
      </c>
      <c r="K21" s="74" t="s">
        <v>35</v>
      </c>
      <c r="M21" s="73">
        <v>17</v>
      </c>
      <c r="N21" s="63">
        <v>18</v>
      </c>
      <c r="O21" s="64">
        <f t="shared" si="12"/>
        <v>0.85</v>
      </c>
      <c r="P21" s="65">
        <f t="shared" si="13"/>
        <v>0.9</v>
      </c>
      <c r="Q21" s="74" t="s">
        <v>35</v>
      </c>
    </row>
    <row r="22" spans="1:17" ht="21.75" customHeight="1">
      <c r="A22" s="73">
        <v>13</v>
      </c>
      <c r="B22" s="63">
        <v>13</v>
      </c>
      <c r="C22" s="64">
        <f t="shared" si="10"/>
        <v>0.52</v>
      </c>
      <c r="D22" s="65">
        <f t="shared" si="11"/>
        <v>0.52</v>
      </c>
      <c r="E22" s="74" t="s">
        <v>31</v>
      </c>
      <c r="G22" s="73">
        <v>10</v>
      </c>
      <c r="H22" s="63">
        <v>10</v>
      </c>
      <c r="I22" s="64">
        <f t="shared" si="14"/>
        <v>0.5</v>
      </c>
      <c r="J22" s="65">
        <f t="shared" si="15"/>
        <v>0.5</v>
      </c>
      <c r="K22" s="74" t="s">
        <v>31</v>
      </c>
      <c r="M22" s="73">
        <v>19</v>
      </c>
      <c r="N22" s="63">
        <v>19</v>
      </c>
      <c r="O22" s="64">
        <f t="shared" si="12"/>
        <v>0.95</v>
      </c>
      <c r="P22" s="65">
        <f t="shared" si="13"/>
        <v>0.95</v>
      </c>
      <c r="Q22" s="74" t="s">
        <v>31</v>
      </c>
    </row>
    <row r="23" spans="1:17" ht="21.75" customHeight="1">
      <c r="A23" s="73">
        <v>14</v>
      </c>
      <c r="B23" s="63">
        <v>16</v>
      </c>
      <c r="C23" s="64">
        <f t="shared" si="10"/>
        <v>0.56000000000000005</v>
      </c>
      <c r="D23" s="65">
        <f t="shared" si="11"/>
        <v>0.64</v>
      </c>
      <c r="E23" s="74">
        <v>3</v>
      </c>
      <c r="G23" s="73">
        <v>11</v>
      </c>
      <c r="H23" s="63">
        <v>12</v>
      </c>
      <c r="I23" s="64">
        <f t="shared" si="14"/>
        <v>0.55000000000000004</v>
      </c>
      <c r="J23" s="65">
        <f t="shared" si="15"/>
        <v>0.6</v>
      </c>
      <c r="K23" s="74">
        <v>3</v>
      </c>
      <c r="M23" s="73">
        <v>20</v>
      </c>
      <c r="N23" s="63">
        <v>22</v>
      </c>
      <c r="O23" s="64">
        <f t="shared" si="12"/>
        <v>1</v>
      </c>
      <c r="P23" s="65">
        <f t="shared" si="13"/>
        <v>1.1000000000000001</v>
      </c>
      <c r="Q23" s="74">
        <v>3</v>
      </c>
    </row>
    <row r="24" spans="1:17" ht="21.75" customHeight="1">
      <c r="A24" s="73">
        <v>17</v>
      </c>
      <c r="B24" s="63">
        <v>17</v>
      </c>
      <c r="C24" s="64">
        <f t="shared" si="10"/>
        <v>0.68</v>
      </c>
      <c r="D24" s="65">
        <f t="shared" si="11"/>
        <v>0.68</v>
      </c>
      <c r="E24" s="74" t="s">
        <v>32</v>
      </c>
      <c r="G24" s="73">
        <v>13</v>
      </c>
      <c r="H24" s="63">
        <v>13</v>
      </c>
      <c r="I24" s="64">
        <f t="shared" si="14"/>
        <v>0.65</v>
      </c>
      <c r="J24" s="65">
        <f t="shared" si="15"/>
        <v>0.65</v>
      </c>
      <c r="K24" s="74" t="s">
        <v>32</v>
      </c>
      <c r="M24" s="73">
        <v>23</v>
      </c>
      <c r="N24" s="63">
        <v>23</v>
      </c>
      <c r="O24" s="64">
        <f t="shared" si="12"/>
        <v>1.1499999999999999</v>
      </c>
      <c r="P24" s="65">
        <f t="shared" si="13"/>
        <v>1.1499999999999999</v>
      </c>
      <c r="Q24" s="74" t="s">
        <v>32</v>
      </c>
    </row>
    <row r="25" spans="1:17" ht="21.75" customHeight="1">
      <c r="A25" s="73">
        <v>18</v>
      </c>
      <c r="B25" s="63">
        <v>18</v>
      </c>
      <c r="C25" s="64">
        <f t="shared" si="10"/>
        <v>0.72</v>
      </c>
      <c r="D25" s="65">
        <f t="shared" si="11"/>
        <v>0.72</v>
      </c>
      <c r="E25" s="74" t="s">
        <v>30</v>
      </c>
      <c r="G25" s="73">
        <v>14</v>
      </c>
      <c r="H25" s="63">
        <v>14</v>
      </c>
      <c r="I25" s="64">
        <f t="shared" si="14"/>
        <v>0.7</v>
      </c>
      <c r="J25" s="65">
        <f t="shared" si="15"/>
        <v>0.7</v>
      </c>
      <c r="K25" s="74" t="s">
        <v>30</v>
      </c>
      <c r="M25" s="73">
        <v>24</v>
      </c>
      <c r="N25" s="63">
        <v>24</v>
      </c>
      <c r="O25" s="64">
        <f t="shared" si="12"/>
        <v>1.2</v>
      </c>
      <c r="P25" s="65">
        <f t="shared" si="13"/>
        <v>1.2</v>
      </c>
      <c r="Q25" s="74" t="s">
        <v>30</v>
      </c>
    </row>
    <row r="26" spans="1:17" ht="21.75" customHeight="1">
      <c r="A26" s="73">
        <v>19</v>
      </c>
      <c r="B26" s="63">
        <v>20</v>
      </c>
      <c r="C26" s="64">
        <f t="shared" si="10"/>
        <v>0.76</v>
      </c>
      <c r="D26" s="65">
        <f t="shared" si="11"/>
        <v>0.8</v>
      </c>
      <c r="E26" s="74">
        <v>4</v>
      </c>
      <c r="G26" s="73">
        <v>15</v>
      </c>
      <c r="H26" s="63">
        <v>16</v>
      </c>
      <c r="I26" s="64">
        <f t="shared" si="14"/>
        <v>0.75</v>
      </c>
      <c r="J26" s="65">
        <f t="shared" si="15"/>
        <v>0.8</v>
      </c>
      <c r="K26" s="74">
        <v>4</v>
      </c>
      <c r="M26" s="73">
        <v>25</v>
      </c>
      <c r="N26" s="63">
        <v>28</v>
      </c>
      <c r="O26" s="64">
        <f t="shared" si="12"/>
        <v>1.25</v>
      </c>
      <c r="P26" s="65">
        <f t="shared" si="13"/>
        <v>1.4</v>
      </c>
      <c r="Q26" s="74">
        <v>4</v>
      </c>
    </row>
    <row r="27" spans="1:17" ht="21.75" customHeight="1">
      <c r="A27" s="73">
        <v>21</v>
      </c>
      <c r="B27" s="63">
        <v>21</v>
      </c>
      <c r="C27" s="64">
        <f t="shared" si="10"/>
        <v>0.84</v>
      </c>
      <c r="D27" s="65">
        <f t="shared" si="11"/>
        <v>0.84</v>
      </c>
      <c r="E27" s="74" t="s">
        <v>34</v>
      </c>
      <c r="G27" s="73">
        <v>17</v>
      </c>
      <c r="H27" s="63">
        <v>17</v>
      </c>
      <c r="I27" s="64">
        <f t="shared" si="14"/>
        <v>0.85</v>
      </c>
      <c r="J27" s="65">
        <f t="shared" si="15"/>
        <v>0.85</v>
      </c>
      <c r="K27" s="74" t="s">
        <v>34</v>
      </c>
      <c r="M27" s="73">
        <v>29</v>
      </c>
      <c r="N27" s="63">
        <v>29</v>
      </c>
      <c r="O27" s="64">
        <f t="shared" si="12"/>
        <v>1.45</v>
      </c>
      <c r="P27" s="65">
        <f t="shared" si="13"/>
        <v>1.45</v>
      </c>
      <c r="Q27" s="74" t="s">
        <v>34</v>
      </c>
    </row>
    <row r="28" spans="1:17" ht="21.75" customHeight="1">
      <c r="A28" s="73">
        <v>22</v>
      </c>
      <c r="B28" s="63">
        <v>22</v>
      </c>
      <c r="C28" s="64">
        <f t="shared" si="10"/>
        <v>0.88</v>
      </c>
      <c r="D28" s="65">
        <f t="shared" si="11"/>
        <v>0.88</v>
      </c>
      <c r="E28" s="74" t="s">
        <v>33</v>
      </c>
      <c r="G28" s="73">
        <v>18</v>
      </c>
      <c r="H28" s="63">
        <v>18</v>
      </c>
      <c r="I28" s="64">
        <f t="shared" si="14"/>
        <v>0.9</v>
      </c>
      <c r="J28" s="65">
        <f t="shared" si="15"/>
        <v>0.9</v>
      </c>
      <c r="K28" s="74" t="s">
        <v>33</v>
      </c>
      <c r="M28" s="73">
        <v>30</v>
      </c>
      <c r="N28" s="63">
        <v>30</v>
      </c>
      <c r="O28" s="64">
        <f t="shared" si="12"/>
        <v>1.5</v>
      </c>
      <c r="P28" s="65">
        <f t="shared" si="13"/>
        <v>1.5</v>
      </c>
      <c r="Q28" s="74" t="s">
        <v>33</v>
      </c>
    </row>
    <row r="29" spans="1:17" ht="21.75" customHeight="1">
      <c r="A29" s="73">
        <v>23</v>
      </c>
      <c r="B29" s="63">
        <v>24</v>
      </c>
      <c r="C29" s="64">
        <f t="shared" si="10"/>
        <v>0.92</v>
      </c>
      <c r="D29" s="65">
        <f t="shared" si="11"/>
        <v>0.96</v>
      </c>
      <c r="E29" s="74">
        <v>5</v>
      </c>
      <c r="G29" s="73">
        <v>19</v>
      </c>
      <c r="H29" s="63">
        <v>20</v>
      </c>
      <c r="I29" s="64">
        <f t="shared" si="14"/>
        <v>0.95</v>
      </c>
      <c r="J29" s="65">
        <f t="shared" si="15"/>
        <v>1</v>
      </c>
      <c r="K29" s="74">
        <v>5</v>
      </c>
      <c r="M29" s="73">
        <v>31</v>
      </c>
      <c r="N29" s="63">
        <v>34</v>
      </c>
      <c r="O29" s="64">
        <f t="shared" si="12"/>
        <v>1.55</v>
      </c>
      <c r="P29" s="65">
        <f t="shared" si="13"/>
        <v>1.7</v>
      </c>
      <c r="Q29" s="74">
        <v>5</v>
      </c>
    </row>
    <row r="30" spans="1:17" ht="21.75" customHeight="1">
      <c r="A30" s="73">
        <v>25</v>
      </c>
      <c r="B30" s="63">
        <v>25</v>
      </c>
      <c r="C30" s="67">
        <f t="shared" si="10"/>
        <v>1</v>
      </c>
      <c r="D30" s="68">
        <f t="shared" si="11"/>
        <v>1</v>
      </c>
      <c r="E30" s="74" t="s">
        <v>36</v>
      </c>
      <c r="G30" s="73">
        <v>21</v>
      </c>
      <c r="H30" s="63">
        <v>21</v>
      </c>
      <c r="I30" s="64">
        <f t="shared" si="14"/>
        <v>1.05</v>
      </c>
      <c r="J30" s="65">
        <f t="shared" si="15"/>
        <v>1.05</v>
      </c>
      <c r="K30" s="74" t="s">
        <v>36</v>
      </c>
      <c r="M30" s="73">
        <v>35</v>
      </c>
      <c r="N30" s="63">
        <v>35</v>
      </c>
      <c r="O30" s="67">
        <f t="shared" si="12"/>
        <v>1.75</v>
      </c>
      <c r="P30" s="68">
        <f t="shared" si="13"/>
        <v>1.75</v>
      </c>
      <c r="Q30" s="74" t="s">
        <v>36</v>
      </c>
    </row>
    <row r="31" spans="1:17" ht="15" thickBot="1">
      <c r="A31" s="75"/>
      <c r="B31" s="76"/>
      <c r="C31" s="80"/>
      <c r="D31" s="81"/>
      <c r="E31" s="79">
        <v>6</v>
      </c>
      <c r="G31" s="75">
        <v>22</v>
      </c>
      <c r="H31" s="76">
        <v>22</v>
      </c>
      <c r="I31" s="173">
        <f t="shared" si="14"/>
        <v>1.1000000000000001</v>
      </c>
      <c r="J31" s="174">
        <f t="shared" si="15"/>
        <v>1.1000000000000001</v>
      </c>
      <c r="K31" s="79">
        <v>6</v>
      </c>
      <c r="M31" s="75">
        <v>36</v>
      </c>
      <c r="N31" s="76">
        <v>36</v>
      </c>
      <c r="O31" s="80">
        <f t="shared" si="12"/>
        <v>1.8</v>
      </c>
      <c r="P31" s="81">
        <f t="shared" si="13"/>
        <v>1.8</v>
      </c>
      <c r="Q31" s="79">
        <v>6</v>
      </c>
    </row>
    <row r="33" ht="33" customHeight="1"/>
    <row r="34" ht="23.25" customHeight="1"/>
    <row r="35" ht="21.75" customHeight="1"/>
    <row r="36" ht="21.75" customHeight="1"/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50" ht="33" customHeight="1"/>
    <row r="51" ht="23.2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7" ht="44.25" customHeight="1"/>
    <row r="68" ht="23.2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4" ht="44.25" customHeight="1"/>
    <row r="85" ht="23.2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</sheetData>
  <mergeCells count="24">
    <mergeCell ref="A17:D17"/>
    <mergeCell ref="M2:N2"/>
    <mergeCell ref="O2:P2"/>
    <mergeCell ref="G18:H18"/>
    <mergeCell ref="I18:J18"/>
    <mergeCell ref="A18:B18"/>
    <mergeCell ref="C18:D18"/>
    <mergeCell ref="G17:J17"/>
    <mergeCell ref="M17:P17"/>
    <mergeCell ref="M18:N18"/>
    <mergeCell ref="O18:P18"/>
    <mergeCell ref="Y1:AB1"/>
    <mergeCell ref="S1:V1"/>
    <mergeCell ref="S2:T2"/>
    <mergeCell ref="U2:V2"/>
    <mergeCell ref="C2:D2"/>
    <mergeCell ref="A1:D1"/>
    <mergeCell ref="G1:J1"/>
    <mergeCell ref="M1:P1"/>
    <mergeCell ref="A2:B2"/>
    <mergeCell ref="G2:H2"/>
    <mergeCell ref="I2:J2"/>
    <mergeCell ref="Y2:Z2"/>
    <mergeCell ref="AA2:AB2"/>
  </mergeCells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75"/>
  <sheetViews>
    <sheetView tabSelected="1" workbookViewId="0">
      <pane xSplit="6" ySplit="2" topLeftCell="K153" activePane="bottomRight" state="frozen"/>
      <selection activeCell="I120" sqref="I120"/>
      <selection pane="topRight" activeCell="I120" sqref="I120"/>
      <selection pane="bottomLeft" activeCell="I120" sqref="I120"/>
      <selection pane="bottomRight" activeCell="N158" sqref="N158"/>
    </sheetView>
  </sheetViews>
  <sheetFormatPr defaultColWidth="9.109375" defaultRowHeight="13.8"/>
  <cols>
    <col min="1" max="4" width="5.6640625" style="252" customWidth="1"/>
    <col min="5" max="6" width="14.6640625" style="252" customWidth="1"/>
    <col min="7" max="8" width="11.6640625" style="499" customWidth="1"/>
    <col min="9" max="9" width="38.33203125" style="499" customWidth="1"/>
    <col min="10" max="12" width="5.6640625" style="258" customWidth="1"/>
    <col min="13" max="13" width="8.44140625" style="500" bestFit="1" customWidth="1"/>
    <col min="14" max="14" width="5.6640625" style="258" customWidth="1"/>
    <col min="15" max="15" width="11.6640625" style="252" customWidth="1"/>
    <col min="16" max="20" width="4.6640625" style="252" customWidth="1"/>
    <col min="21" max="21" width="9.5546875" style="252" bestFit="1" customWidth="1"/>
    <col min="22" max="37" width="4.6640625" style="252" customWidth="1"/>
    <col min="38" max="38" width="6.6640625" style="252" bestFit="1" customWidth="1"/>
    <col min="39" max="16384" width="9.109375" style="252"/>
  </cols>
  <sheetData>
    <row r="1" spans="1:38" ht="88.5" customHeight="1">
      <c r="A1" s="488" t="s">
        <v>3</v>
      </c>
      <c r="B1" s="485" t="s">
        <v>4</v>
      </c>
      <c r="C1" s="485" t="s">
        <v>6</v>
      </c>
      <c r="D1" s="487" t="s">
        <v>5</v>
      </c>
      <c r="E1" s="485" t="s">
        <v>280</v>
      </c>
      <c r="F1" s="485" t="s">
        <v>8</v>
      </c>
      <c r="G1" s="575" t="s">
        <v>200</v>
      </c>
      <c r="H1" s="577" t="s">
        <v>201</v>
      </c>
      <c r="I1" s="548" t="s">
        <v>203</v>
      </c>
      <c r="J1" s="579" t="s">
        <v>204</v>
      </c>
      <c r="K1" s="550" t="s">
        <v>205</v>
      </c>
      <c r="L1" s="487" t="s">
        <v>206</v>
      </c>
      <c r="M1" s="579" t="s">
        <v>29</v>
      </c>
      <c r="N1" s="579" t="s">
        <v>28</v>
      </c>
      <c r="O1" s="573" t="s">
        <v>207</v>
      </c>
      <c r="P1" s="490" t="s">
        <v>194</v>
      </c>
      <c r="Q1" s="491" t="s">
        <v>25</v>
      </c>
      <c r="R1" s="491" t="s">
        <v>26</v>
      </c>
      <c r="S1" s="492" t="s">
        <v>37</v>
      </c>
      <c r="T1" s="493" t="s">
        <v>279</v>
      </c>
      <c r="U1" s="494" t="s">
        <v>278</v>
      </c>
      <c r="V1" s="494" t="s">
        <v>277</v>
      </c>
      <c r="W1" s="494" t="s">
        <v>276</v>
      </c>
      <c r="X1" s="494" t="s">
        <v>227</v>
      </c>
      <c r="Y1" s="494" t="s">
        <v>275</v>
      </c>
      <c r="Z1" s="495" t="s">
        <v>270</v>
      </c>
      <c r="AA1" s="493" t="s">
        <v>274</v>
      </c>
      <c r="AB1" s="494" t="s">
        <v>273</v>
      </c>
      <c r="AC1" s="494" t="s">
        <v>272</v>
      </c>
      <c r="AD1" s="494" t="s">
        <v>271</v>
      </c>
      <c r="AE1" s="495" t="s">
        <v>270</v>
      </c>
      <c r="AF1" s="493" t="s">
        <v>269</v>
      </c>
      <c r="AG1" s="494" t="s">
        <v>268</v>
      </c>
      <c r="AH1" s="494" t="s">
        <v>267</v>
      </c>
      <c r="AI1" s="494" t="s">
        <v>266</v>
      </c>
      <c r="AJ1" s="494" t="s">
        <v>265</v>
      </c>
      <c r="AK1" s="494" t="s">
        <v>264</v>
      </c>
      <c r="AL1" s="495" t="s">
        <v>263</v>
      </c>
    </row>
    <row r="2" spans="1:38" ht="14.4" thickBot="1">
      <c r="A2" s="489"/>
      <c r="B2" s="486"/>
      <c r="C2" s="486"/>
      <c r="D2" s="486"/>
      <c r="E2" s="486"/>
      <c r="F2" s="486"/>
      <c r="G2" s="576"/>
      <c r="H2" s="578"/>
      <c r="I2" s="549"/>
      <c r="J2" s="580"/>
      <c r="K2" s="551"/>
      <c r="L2" s="486">
        <f t="shared" ref="L2:L46" si="0">SUM(P2:AL2)</f>
        <v>50</v>
      </c>
      <c r="M2" s="580"/>
      <c r="N2" s="580"/>
      <c r="O2" s="574"/>
      <c r="P2" s="496"/>
      <c r="Q2" s="497">
        <v>2</v>
      </c>
      <c r="R2" s="497">
        <v>2</v>
      </c>
      <c r="S2" s="498">
        <v>5</v>
      </c>
      <c r="T2" s="496">
        <v>3</v>
      </c>
      <c r="U2" s="497">
        <v>3</v>
      </c>
      <c r="V2" s="497">
        <v>2</v>
      </c>
      <c r="W2" s="497">
        <v>1</v>
      </c>
      <c r="X2" s="497">
        <v>2</v>
      </c>
      <c r="Y2" s="497">
        <v>2</v>
      </c>
      <c r="Z2" s="498">
        <v>0</v>
      </c>
      <c r="AA2" s="496">
        <v>3</v>
      </c>
      <c r="AB2" s="497">
        <v>3</v>
      </c>
      <c r="AC2" s="497">
        <v>3</v>
      </c>
      <c r="AD2" s="497">
        <v>5</v>
      </c>
      <c r="AE2" s="498">
        <v>0</v>
      </c>
      <c r="AF2" s="496">
        <v>4</v>
      </c>
      <c r="AG2" s="497">
        <v>2</v>
      </c>
      <c r="AH2" s="497">
        <v>2</v>
      </c>
      <c r="AI2" s="497">
        <v>3</v>
      </c>
      <c r="AJ2" s="497">
        <v>1</v>
      </c>
      <c r="AK2" s="497">
        <v>2</v>
      </c>
      <c r="AL2" s="498">
        <v>0</v>
      </c>
    </row>
    <row r="3" spans="1:38" ht="17.399999999999999" customHeight="1" thickTop="1">
      <c r="A3" s="264">
        <v>3196</v>
      </c>
      <c r="B3" s="265" t="s">
        <v>21</v>
      </c>
      <c r="C3" s="265">
        <v>1</v>
      </c>
      <c r="D3" s="266">
        <v>2</v>
      </c>
      <c r="E3" s="259" t="s">
        <v>51</v>
      </c>
      <c r="F3" s="307" t="s">
        <v>66</v>
      </c>
      <c r="G3" s="501">
        <v>43474</v>
      </c>
      <c r="H3" s="502">
        <v>43474</v>
      </c>
      <c r="I3" s="502" t="s">
        <v>757</v>
      </c>
      <c r="J3" s="503">
        <v>1</v>
      </c>
      <c r="K3" s="503">
        <v>2</v>
      </c>
      <c r="L3" s="503">
        <f t="shared" si="0"/>
        <v>28</v>
      </c>
      <c r="M3" s="504">
        <f t="shared" ref="M3:M47" si="1">L3/$L$2</f>
        <v>0.56000000000000005</v>
      </c>
      <c r="N3" s="505">
        <v>3</v>
      </c>
      <c r="O3" s="506">
        <v>43475</v>
      </c>
      <c r="P3" s="507"/>
      <c r="Q3" s="508">
        <v>2</v>
      </c>
      <c r="R3" s="508">
        <v>2</v>
      </c>
      <c r="S3" s="509">
        <v>5</v>
      </c>
      <c r="T3" s="507">
        <v>1</v>
      </c>
      <c r="U3" s="508">
        <v>3</v>
      </c>
      <c r="V3" s="508">
        <v>2</v>
      </c>
      <c r="W3" s="508">
        <v>1</v>
      </c>
      <c r="X3" s="508">
        <v>1</v>
      </c>
      <c r="Y3" s="508">
        <v>2</v>
      </c>
      <c r="Z3" s="509">
        <v>0</v>
      </c>
      <c r="AA3" s="507">
        <v>3</v>
      </c>
      <c r="AB3" s="508">
        <v>2</v>
      </c>
      <c r="AC3" s="508">
        <v>3</v>
      </c>
      <c r="AD3" s="508">
        <v>3</v>
      </c>
      <c r="AE3" s="509">
        <v>-1</v>
      </c>
      <c r="AF3" s="507">
        <v>1</v>
      </c>
      <c r="AG3" s="508">
        <v>2</v>
      </c>
      <c r="AH3" s="508">
        <v>2</v>
      </c>
      <c r="AI3" s="508">
        <v>2</v>
      </c>
      <c r="AJ3" s="508">
        <v>1</v>
      </c>
      <c r="AK3" s="508">
        <v>1</v>
      </c>
      <c r="AL3" s="509">
        <v>-10</v>
      </c>
    </row>
    <row r="4" spans="1:38" ht="17.399999999999999" customHeight="1">
      <c r="A4" s="274">
        <v>3197</v>
      </c>
      <c r="B4" s="275" t="s">
        <v>21</v>
      </c>
      <c r="C4" s="275">
        <v>2</v>
      </c>
      <c r="D4" s="276">
        <v>3</v>
      </c>
      <c r="E4" s="260" t="s">
        <v>134</v>
      </c>
      <c r="F4" s="308" t="s">
        <v>14</v>
      </c>
      <c r="G4" s="510">
        <v>43461</v>
      </c>
      <c r="H4" s="511"/>
      <c r="I4" s="511" t="s">
        <v>208</v>
      </c>
      <c r="J4" s="512">
        <v>1</v>
      </c>
      <c r="K4" s="512">
        <v>2</v>
      </c>
      <c r="L4" s="512">
        <f>SUM(P4:AL4)</f>
        <v>0</v>
      </c>
      <c r="M4" s="513">
        <f>L4/$L$2</f>
        <v>0</v>
      </c>
      <c r="N4" s="514">
        <v>1</v>
      </c>
      <c r="O4" s="515">
        <v>43461</v>
      </c>
      <c r="P4" s="516"/>
      <c r="Q4" s="517"/>
      <c r="R4" s="517"/>
      <c r="S4" s="518"/>
      <c r="T4" s="516"/>
      <c r="U4" s="517"/>
      <c r="V4" s="517"/>
      <c r="W4" s="517"/>
      <c r="X4" s="517"/>
      <c r="Y4" s="517"/>
      <c r="Z4" s="518"/>
      <c r="AA4" s="516"/>
      <c r="AB4" s="517"/>
      <c r="AC4" s="517"/>
      <c r="AD4" s="517"/>
      <c r="AE4" s="518"/>
      <c r="AF4" s="516"/>
      <c r="AG4" s="517"/>
      <c r="AH4" s="517"/>
      <c r="AI4" s="517"/>
      <c r="AJ4" s="517"/>
      <c r="AK4" s="517"/>
      <c r="AL4" s="518"/>
    </row>
    <row r="5" spans="1:38" ht="17.399999999999999" customHeight="1">
      <c r="A5" s="274">
        <v>3198</v>
      </c>
      <c r="B5" s="275" t="s">
        <v>21</v>
      </c>
      <c r="C5" s="275">
        <v>3</v>
      </c>
      <c r="D5" s="276">
        <v>1</v>
      </c>
      <c r="E5" s="260" t="s">
        <v>564</v>
      </c>
      <c r="F5" s="308" t="s">
        <v>400</v>
      </c>
      <c r="G5" s="510">
        <v>43461</v>
      </c>
      <c r="H5" s="511">
        <v>43447</v>
      </c>
      <c r="I5" s="511" t="s">
        <v>705</v>
      </c>
      <c r="J5" s="512">
        <v>1</v>
      </c>
      <c r="K5" s="512">
        <v>2</v>
      </c>
      <c r="L5" s="512">
        <f>SUM(P5:AL5)</f>
        <v>35</v>
      </c>
      <c r="M5" s="513">
        <f>L5/$L$2</f>
        <v>0.7</v>
      </c>
      <c r="N5" s="514" t="s">
        <v>30</v>
      </c>
      <c r="O5" s="515">
        <v>43461</v>
      </c>
      <c r="P5" s="516">
        <v>-3</v>
      </c>
      <c r="Q5" s="517">
        <v>2</v>
      </c>
      <c r="R5" s="517">
        <v>2</v>
      </c>
      <c r="S5" s="518">
        <v>0</v>
      </c>
      <c r="T5" s="516">
        <v>1</v>
      </c>
      <c r="U5" s="517">
        <v>3</v>
      </c>
      <c r="V5" s="517">
        <v>2</v>
      </c>
      <c r="W5" s="517">
        <v>1</v>
      </c>
      <c r="X5" s="517">
        <v>2</v>
      </c>
      <c r="Y5" s="517">
        <v>2</v>
      </c>
      <c r="Z5" s="518">
        <v>-1</v>
      </c>
      <c r="AA5" s="516">
        <v>2</v>
      </c>
      <c r="AB5" s="517">
        <v>3</v>
      </c>
      <c r="AC5" s="517">
        <v>3</v>
      </c>
      <c r="AD5" s="517">
        <v>5</v>
      </c>
      <c r="AE5" s="518">
        <v>0</v>
      </c>
      <c r="AF5" s="516">
        <v>3</v>
      </c>
      <c r="AG5" s="517">
        <v>2</v>
      </c>
      <c r="AH5" s="517">
        <v>0</v>
      </c>
      <c r="AI5" s="517">
        <v>3</v>
      </c>
      <c r="AJ5" s="517">
        <v>1</v>
      </c>
      <c r="AK5" s="517">
        <v>2</v>
      </c>
      <c r="AL5" s="518">
        <v>0</v>
      </c>
    </row>
    <row r="6" spans="1:38" ht="17.399999999999999" customHeight="1">
      <c r="A6" s="274">
        <v>3199</v>
      </c>
      <c r="B6" s="275" t="s">
        <v>21</v>
      </c>
      <c r="C6" s="275">
        <v>4</v>
      </c>
      <c r="D6" s="276">
        <v>3</v>
      </c>
      <c r="E6" s="260" t="s">
        <v>87</v>
      </c>
      <c r="F6" s="308" t="s">
        <v>176</v>
      </c>
      <c r="G6" s="510">
        <v>43461</v>
      </c>
      <c r="H6" s="511">
        <v>43450</v>
      </c>
      <c r="I6" s="511"/>
      <c r="J6" s="512">
        <v>1</v>
      </c>
      <c r="K6" s="512">
        <v>2</v>
      </c>
      <c r="L6" s="512">
        <f t="shared" si="0"/>
        <v>41</v>
      </c>
      <c r="M6" s="513">
        <f t="shared" si="1"/>
        <v>0.82</v>
      </c>
      <c r="N6" s="514" t="s">
        <v>33</v>
      </c>
      <c r="O6" s="515">
        <v>43461</v>
      </c>
      <c r="P6" s="516"/>
      <c r="Q6" s="517">
        <v>2</v>
      </c>
      <c r="R6" s="517">
        <v>2</v>
      </c>
      <c r="S6" s="518">
        <v>5</v>
      </c>
      <c r="T6" s="516">
        <v>1</v>
      </c>
      <c r="U6" s="517">
        <v>3</v>
      </c>
      <c r="V6" s="517">
        <v>2</v>
      </c>
      <c r="W6" s="517">
        <v>1</v>
      </c>
      <c r="X6" s="517">
        <v>2</v>
      </c>
      <c r="Y6" s="517">
        <v>2</v>
      </c>
      <c r="Z6" s="518">
        <v>-1</v>
      </c>
      <c r="AA6" s="516">
        <v>3</v>
      </c>
      <c r="AB6" s="517">
        <v>3</v>
      </c>
      <c r="AC6" s="517">
        <v>3</v>
      </c>
      <c r="AD6" s="517">
        <v>4</v>
      </c>
      <c r="AE6" s="518">
        <v>0</v>
      </c>
      <c r="AF6" s="516">
        <v>2</v>
      </c>
      <c r="AG6" s="517">
        <v>2</v>
      </c>
      <c r="AH6" s="517">
        <v>2</v>
      </c>
      <c r="AI6" s="517">
        <v>3</v>
      </c>
      <c r="AJ6" s="517">
        <v>1</v>
      </c>
      <c r="AK6" s="517">
        <v>2</v>
      </c>
      <c r="AL6" s="518">
        <v>-3</v>
      </c>
    </row>
    <row r="7" spans="1:38" ht="17.399999999999999" customHeight="1">
      <c r="A7" s="274">
        <v>3200</v>
      </c>
      <c r="B7" s="275" t="s">
        <v>21</v>
      </c>
      <c r="C7" s="275">
        <v>5</v>
      </c>
      <c r="D7" s="276">
        <v>1</v>
      </c>
      <c r="E7" s="260" t="s">
        <v>565</v>
      </c>
      <c r="F7" s="308" t="s">
        <v>48</v>
      </c>
      <c r="G7" s="510">
        <v>43461</v>
      </c>
      <c r="H7" s="511">
        <v>43448</v>
      </c>
      <c r="I7" s="511" t="s">
        <v>705</v>
      </c>
      <c r="J7" s="512">
        <v>1</v>
      </c>
      <c r="K7" s="512">
        <v>2</v>
      </c>
      <c r="L7" s="512">
        <f>SUM(P7:AL7)</f>
        <v>31</v>
      </c>
      <c r="M7" s="513">
        <f>L7/$L$2</f>
        <v>0.62</v>
      </c>
      <c r="N7" s="514" t="s">
        <v>32</v>
      </c>
      <c r="O7" s="515">
        <v>43461</v>
      </c>
      <c r="P7" s="516">
        <v>-5</v>
      </c>
      <c r="Q7" s="517">
        <v>2</v>
      </c>
      <c r="R7" s="517">
        <v>1</v>
      </c>
      <c r="S7" s="518">
        <v>0</v>
      </c>
      <c r="T7" s="516">
        <v>3</v>
      </c>
      <c r="U7" s="517">
        <v>3</v>
      </c>
      <c r="V7" s="517">
        <v>2</v>
      </c>
      <c r="W7" s="517">
        <v>1</v>
      </c>
      <c r="X7" s="517">
        <v>2</v>
      </c>
      <c r="Y7" s="517">
        <v>2</v>
      </c>
      <c r="Z7" s="518">
        <v>-1</v>
      </c>
      <c r="AA7" s="516">
        <v>2</v>
      </c>
      <c r="AB7" s="517">
        <v>2</v>
      </c>
      <c r="AC7" s="517">
        <v>3</v>
      </c>
      <c r="AD7" s="517">
        <v>2</v>
      </c>
      <c r="AE7" s="518">
        <v>-1</v>
      </c>
      <c r="AF7" s="516">
        <v>4</v>
      </c>
      <c r="AG7" s="517">
        <v>2</v>
      </c>
      <c r="AH7" s="517">
        <v>2</v>
      </c>
      <c r="AI7" s="517">
        <v>2</v>
      </c>
      <c r="AJ7" s="517">
        <v>1</v>
      </c>
      <c r="AK7" s="517">
        <v>2</v>
      </c>
      <c r="AL7" s="518">
        <v>0</v>
      </c>
    </row>
    <row r="8" spans="1:38" ht="17.399999999999999" customHeight="1">
      <c r="A8" s="274">
        <v>3201</v>
      </c>
      <c r="B8" s="275" t="s">
        <v>21</v>
      </c>
      <c r="C8" s="275">
        <v>6</v>
      </c>
      <c r="D8" s="276">
        <v>1</v>
      </c>
      <c r="E8" s="260" t="s">
        <v>566</v>
      </c>
      <c r="F8" s="308" t="s">
        <v>681</v>
      </c>
      <c r="G8" s="510">
        <v>43461</v>
      </c>
      <c r="H8" s="511">
        <v>43451</v>
      </c>
      <c r="I8" s="511" t="s">
        <v>716</v>
      </c>
      <c r="J8" s="512">
        <v>1</v>
      </c>
      <c r="K8" s="512">
        <v>2</v>
      </c>
      <c r="L8" s="512">
        <f t="shared" si="0"/>
        <v>9</v>
      </c>
      <c r="M8" s="513">
        <f t="shared" si="1"/>
        <v>0.18</v>
      </c>
      <c r="N8" s="514">
        <v>1</v>
      </c>
      <c r="O8" s="515">
        <v>43461</v>
      </c>
      <c r="P8" s="516">
        <v>-5</v>
      </c>
      <c r="Q8" s="517">
        <v>2</v>
      </c>
      <c r="R8" s="517">
        <v>2</v>
      </c>
      <c r="S8" s="518">
        <v>0</v>
      </c>
      <c r="T8" s="516">
        <v>1</v>
      </c>
      <c r="U8" s="517">
        <v>3</v>
      </c>
      <c r="V8" s="517">
        <v>2</v>
      </c>
      <c r="W8" s="517">
        <v>1</v>
      </c>
      <c r="X8" s="517">
        <v>2</v>
      </c>
      <c r="Y8" s="517">
        <v>0</v>
      </c>
      <c r="Z8" s="518">
        <v>-11</v>
      </c>
      <c r="AA8" s="516">
        <v>2</v>
      </c>
      <c r="AB8" s="517">
        <v>0</v>
      </c>
      <c r="AC8" s="517">
        <v>2</v>
      </c>
      <c r="AD8" s="517">
        <v>2</v>
      </c>
      <c r="AE8" s="518">
        <v>-6</v>
      </c>
      <c r="AF8" s="516">
        <v>4</v>
      </c>
      <c r="AG8" s="517">
        <v>2</v>
      </c>
      <c r="AH8" s="517">
        <v>2</v>
      </c>
      <c r="AI8" s="517">
        <v>2</v>
      </c>
      <c r="AJ8" s="517">
        <v>1</v>
      </c>
      <c r="AK8" s="517">
        <v>2</v>
      </c>
      <c r="AL8" s="518">
        <v>-1</v>
      </c>
    </row>
    <row r="9" spans="1:38" ht="17.399999999999999" customHeight="1">
      <c r="A9" s="274">
        <v>3202</v>
      </c>
      <c r="B9" s="275" t="s">
        <v>21</v>
      </c>
      <c r="C9" s="275">
        <v>7</v>
      </c>
      <c r="D9" s="276">
        <v>1</v>
      </c>
      <c r="E9" s="260" t="s">
        <v>89</v>
      </c>
      <c r="F9" s="308" t="s">
        <v>567</v>
      </c>
      <c r="G9" s="510">
        <v>43461</v>
      </c>
      <c r="H9" s="511">
        <v>43456</v>
      </c>
      <c r="I9" s="511" t="s">
        <v>717</v>
      </c>
      <c r="J9" s="512">
        <v>1</v>
      </c>
      <c r="K9" s="512">
        <v>2</v>
      </c>
      <c r="L9" s="512">
        <f>SUM(P9:AL9)</f>
        <v>25</v>
      </c>
      <c r="M9" s="513">
        <f>L9/$L$2</f>
        <v>0.5</v>
      </c>
      <c r="N9" s="514" t="s">
        <v>35</v>
      </c>
      <c r="O9" s="515">
        <v>43461</v>
      </c>
      <c r="P9" s="516">
        <v>-6</v>
      </c>
      <c r="Q9" s="517">
        <v>2</v>
      </c>
      <c r="R9" s="517">
        <v>2</v>
      </c>
      <c r="S9" s="518">
        <v>5</v>
      </c>
      <c r="T9" s="516">
        <v>1</v>
      </c>
      <c r="U9" s="517">
        <v>3</v>
      </c>
      <c r="V9" s="517">
        <v>2</v>
      </c>
      <c r="W9" s="517">
        <v>1</v>
      </c>
      <c r="X9" s="517">
        <v>2</v>
      </c>
      <c r="Y9" s="517">
        <v>1</v>
      </c>
      <c r="Z9" s="518">
        <v>-3</v>
      </c>
      <c r="AA9" s="516">
        <v>3</v>
      </c>
      <c r="AB9" s="517">
        <v>0</v>
      </c>
      <c r="AC9" s="517">
        <v>2</v>
      </c>
      <c r="AD9" s="517">
        <v>2</v>
      </c>
      <c r="AE9" s="518">
        <v>-2</v>
      </c>
      <c r="AF9" s="516">
        <v>3</v>
      </c>
      <c r="AG9" s="517">
        <v>2</v>
      </c>
      <c r="AH9" s="517">
        <v>2</v>
      </c>
      <c r="AI9" s="517">
        <v>2</v>
      </c>
      <c r="AJ9" s="517">
        <v>1</v>
      </c>
      <c r="AK9" s="517">
        <v>2</v>
      </c>
      <c r="AL9" s="518">
        <v>-2</v>
      </c>
    </row>
    <row r="10" spans="1:38" ht="17.399999999999999" customHeight="1">
      <c r="A10" s="274">
        <v>3203</v>
      </c>
      <c r="B10" s="275" t="s">
        <v>21</v>
      </c>
      <c r="C10" s="275">
        <v>8</v>
      </c>
      <c r="D10" s="276">
        <v>3</v>
      </c>
      <c r="E10" s="260" t="s">
        <v>568</v>
      </c>
      <c r="F10" s="308" t="s">
        <v>67</v>
      </c>
      <c r="G10" s="510">
        <v>43461</v>
      </c>
      <c r="H10" s="511">
        <v>43460</v>
      </c>
      <c r="I10" s="511"/>
      <c r="J10" s="512">
        <v>1</v>
      </c>
      <c r="K10" s="512">
        <v>2</v>
      </c>
      <c r="L10" s="512">
        <f t="shared" si="0"/>
        <v>34</v>
      </c>
      <c r="M10" s="513">
        <f t="shared" si="1"/>
        <v>0.68</v>
      </c>
      <c r="N10" s="514">
        <v>4</v>
      </c>
      <c r="O10" s="515">
        <v>43461</v>
      </c>
      <c r="P10" s="516"/>
      <c r="Q10" s="517">
        <v>2</v>
      </c>
      <c r="R10" s="517">
        <v>2</v>
      </c>
      <c r="S10" s="518">
        <v>5</v>
      </c>
      <c r="T10" s="516">
        <v>0</v>
      </c>
      <c r="U10" s="517">
        <v>3</v>
      </c>
      <c r="V10" s="517">
        <v>2</v>
      </c>
      <c r="W10" s="517">
        <v>0</v>
      </c>
      <c r="X10" s="517">
        <v>2</v>
      </c>
      <c r="Y10" s="517">
        <v>0</v>
      </c>
      <c r="Z10" s="518">
        <v>-2</v>
      </c>
      <c r="AA10" s="516">
        <v>3</v>
      </c>
      <c r="AB10" s="517">
        <v>0</v>
      </c>
      <c r="AC10" s="517">
        <v>3</v>
      </c>
      <c r="AD10" s="517">
        <v>3</v>
      </c>
      <c r="AE10" s="518">
        <v>-2</v>
      </c>
      <c r="AF10" s="516">
        <v>3</v>
      </c>
      <c r="AG10" s="517">
        <v>2</v>
      </c>
      <c r="AH10" s="517">
        <v>2</v>
      </c>
      <c r="AI10" s="517">
        <v>3</v>
      </c>
      <c r="AJ10" s="517">
        <v>1</v>
      </c>
      <c r="AK10" s="517">
        <v>2</v>
      </c>
      <c r="AL10" s="518">
        <v>0</v>
      </c>
    </row>
    <row r="11" spans="1:38" ht="17.399999999999999" customHeight="1">
      <c r="A11" s="274">
        <v>3204</v>
      </c>
      <c r="B11" s="283" t="s">
        <v>21</v>
      </c>
      <c r="C11" s="283">
        <v>9</v>
      </c>
      <c r="D11" s="276">
        <v>3</v>
      </c>
      <c r="E11" s="261" t="s">
        <v>569</v>
      </c>
      <c r="F11" s="309" t="s">
        <v>189</v>
      </c>
      <c r="G11" s="510">
        <v>43461</v>
      </c>
      <c r="H11" s="511"/>
      <c r="I11" s="511" t="s">
        <v>208</v>
      </c>
      <c r="J11" s="512">
        <v>1</v>
      </c>
      <c r="K11" s="512">
        <v>2</v>
      </c>
      <c r="L11" s="512">
        <f t="shared" si="0"/>
        <v>0</v>
      </c>
      <c r="M11" s="513">
        <f t="shared" si="1"/>
        <v>0</v>
      </c>
      <c r="N11" s="514">
        <v>1</v>
      </c>
      <c r="O11" s="515">
        <v>43461</v>
      </c>
      <c r="P11" s="516"/>
      <c r="Q11" s="517"/>
      <c r="R11" s="517"/>
      <c r="S11" s="518"/>
      <c r="T11" s="516"/>
      <c r="U11" s="517"/>
      <c r="V11" s="517"/>
      <c r="W11" s="517"/>
      <c r="X11" s="517"/>
      <c r="Y11" s="517"/>
      <c r="Z11" s="518"/>
      <c r="AA11" s="516"/>
      <c r="AB11" s="517"/>
      <c r="AC11" s="517"/>
      <c r="AD11" s="517"/>
      <c r="AE11" s="518"/>
      <c r="AF11" s="516"/>
      <c r="AG11" s="517"/>
      <c r="AH11" s="517"/>
      <c r="AI11" s="517"/>
      <c r="AJ11" s="517"/>
      <c r="AK11" s="517"/>
      <c r="AL11" s="518"/>
    </row>
    <row r="12" spans="1:38" ht="17.399999999999999" customHeight="1">
      <c r="A12" s="274">
        <v>3322</v>
      </c>
      <c r="B12" s="283" t="s">
        <v>21</v>
      </c>
      <c r="C12" s="283">
        <v>10</v>
      </c>
      <c r="D12" s="276">
        <v>2</v>
      </c>
      <c r="E12" s="261" t="s">
        <v>570</v>
      </c>
      <c r="F12" s="309" t="s">
        <v>571</v>
      </c>
      <c r="G12" s="510">
        <v>43461</v>
      </c>
      <c r="H12" s="511"/>
      <c r="I12" s="511" t="s">
        <v>208</v>
      </c>
      <c r="J12" s="512">
        <v>1</v>
      </c>
      <c r="K12" s="512">
        <v>2</v>
      </c>
      <c r="L12" s="512">
        <f t="shared" si="0"/>
        <v>0</v>
      </c>
      <c r="M12" s="513">
        <f t="shared" si="1"/>
        <v>0</v>
      </c>
      <c r="N12" s="514">
        <v>1</v>
      </c>
      <c r="O12" s="515">
        <v>43461</v>
      </c>
      <c r="P12" s="516"/>
      <c r="Q12" s="517"/>
      <c r="R12" s="517"/>
      <c r="S12" s="518"/>
      <c r="T12" s="519"/>
      <c r="U12" s="520"/>
      <c r="V12" s="520"/>
      <c r="W12" s="520"/>
      <c r="X12" s="520"/>
      <c r="Y12" s="520"/>
      <c r="Z12" s="521"/>
      <c r="AA12" s="519"/>
      <c r="AB12" s="520"/>
      <c r="AC12" s="520"/>
      <c r="AD12" s="520"/>
      <c r="AE12" s="521"/>
      <c r="AF12" s="519"/>
      <c r="AG12" s="520"/>
      <c r="AH12" s="520"/>
      <c r="AI12" s="520"/>
      <c r="AJ12" s="520"/>
      <c r="AK12" s="520"/>
      <c r="AL12" s="521"/>
    </row>
    <row r="13" spans="1:38" ht="17.399999999999999" customHeight="1">
      <c r="A13" s="274">
        <v>3206</v>
      </c>
      <c r="B13" s="283" t="s">
        <v>21</v>
      </c>
      <c r="C13" s="283">
        <v>11</v>
      </c>
      <c r="D13" s="276">
        <v>2</v>
      </c>
      <c r="E13" s="261" t="s">
        <v>45</v>
      </c>
      <c r="F13" s="309" t="s">
        <v>48</v>
      </c>
      <c r="G13" s="510">
        <v>43461</v>
      </c>
      <c r="H13" s="511">
        <v>43447</v>
      </c>
      <c r="I13" s="511"/>
      <c r="J13" s="512">
        <v>1</v>
      </c>
      <c r="K13" s="512">
        <v>2</v>
      </c>
      <c r="L13" s="512">
        <f t="shared" si="0"/>
        <v>37</v>
      </c>
      <c r="M13" s="513">
        <f t="shared" si="1"/>
        <v>0.74</v>
      </c>
      <c r="N13" s="514">
        <v>4</v>
      </c>
      <c r="O13" s="515">
        <v>43461</v>
      </c>
      <c r="P13" s="516"/>
      <c r="Q13" s="517">
        <v>2</v>
      </c>
      <c r="R13" s="517">
        <v>2</v>
      </c>
      <c r="S13" s="518">
        <v>5</v>
      </c>
      <c r="T13" s="519">
        <v>0</v>
      </c>
      <c r="U13" s="520">
        <v>3</v>
      </c>
      <c r="V13" s="520">
        <v>2</v>
      </c>
      <c r="W13" s="520">
        <v>0</v>
      </c>
      <c r="X13" s="520">
        <v>2</v>
      </c>
      <c r="Y13" s="520">
        <v>2</v>
      </c>
      <c r="Z13" s="521">
        <v>0</v>
      </c>
      <c r="AA13" s="519">
        <v>3</v>
      </c>
      <c r="AB13" s="520">
        <v>2</v>
      </c>
      <c r="AC13" s="520">
        <v>3</v>
      </c>
      <c r="AD13" s="520">
        <v>3</v>
      </c>
      <c r="AE13" s="521">
        <v>-1</v>
      </c>
      <c r="AF13" s="519">
        <v>3</v>
      </c>
      <c r="AG13" s="520">
        <v>1</v>
      </c>
      <c r="AH13" s="520">
        <v>2</v>
      </c>
      <c r="AI13" s="520">
        <v>3</v>
      </c>
      <c r="AJ13" s="520">
        <v>1</v>
      </c>
      <c r="AK13" s="520">
        <v>2</v>
      </c>
      <c r="AL13" s="521">
        <v>-3</v>
      </c>
    </row>
    <row r="14" spans="1:38" ht="17.399999999999999" customHeight="1">
      <c r="A14" s="274">
        <v>3205</v>
      </c>
      <c r="B14" s="283" t="s">
        <v>21</v>
      </c>
      <c r="C14" s="283">
        <v>12</v>
      </c>
      <c r="D14" s="276">
        <v>2</v>
      </c>
      <c r="E14" s="261" t="s">
        <v>572</v>
      </c>
      <c r="F14" s="309" t="s">
        <v>684</v>
      </c>
      <c r="G14" s="510">
        <v>43461</v>
      </c>
      <c r="H14" s="511">
        <v>43461</v>
      </c>
      <c r="I14" s="511" t="s">
        <v>718</v>
      </c>
      <c r="J14" s="512">
        <v>1</v>
      </c>
      <c r="K14" s="512">
        <v>2</v>
      </c>
      <c r="L14" s="512">
        <f t="shared" si="0"/>
        <v>1</v>
      </c>
      <c r="M14" s="513">
        <f t="shared" si="1"/>
        <v>0.02</v>
      </c>
      <c r="N14" s="514">
        <v>1</v>
      </c>
      <c r="O14" s="515">
        <v>43461</v>
      </c>
      <c r="P14" s="516">
        <v>-5</v>
      </c>
      <c r="Q14" s="517">
        <v>0</v>
      </c>
      <c r="R14" s="517">
        <v>-3</v>
      </c>
      <c r="S14" s="518">
        <v>0</v>
      </c>
      <c r="T14" s="519">
        <v>3</v>
      </c>
      <c r="U14" s="520">
        <v>3</v>
      </c>
      <c r="V14" s="520">
        <v>2</v>
      </c>
      <c r="W14" s="520">
        <v>1</v>
      </c>
      <c r="X14" s="520">
        <v>0</v>
      </c>
      <c r="Y14" s="520">
        <v>0</v>
      </c>
      <c r="Z14" s="521">
        <v>0</v>
      </c>
      <c r="AA14" s="519"/>
      <c r="AB14" s="520"/>
      <c r="AC14" s="520"/>
      <c r="AD14" s="520"/>
      <c r="AE14" s="521"/>
      <c r="AF14" s="519"/>
      <c r="AG14" s="520"/>
      <c r="AH14" s="520"/>
      <c r="AI14" s="520"/>
      <c r="AJ14" s="520"/>
      <c r="AK14" s="520"/>
      <c r="AL14" s="521"/>
    </row>
    <row r="15" spans="1:38" ht="17.399999999999999" customHeight="1">
      <c r="A15" s="274">
        <v>3207</v>
      </c>
      <c r="B15" s="275" t="s">
        <v>21</v>
      </c>
      <c r="C15" s="275">
        <v>13</v>
      </c>
      <c r="D15" s="276">
        <v>1</v>
      </c>
      <c r="E15" s="260" t="s">
        <v>573</v>
      </c>
      <c r="F15" s="308" t="s">
        <v>10</v>
      </c>
      <c r="G15" s="510">
        <v>43461</v>
      </c>
      <c r="H15" s="511">
        <v>43447</v>
      </c>
      <c r="I15" s="511" t="s">
        <v>710</v>
      </c>
      <c r="J15" s="512">
        <v>1</v>
      </c>
      <c r="K15" s="512">
        <v>2</v>
      </c>
      <c r="L15" s="512">
        <f t="shared" si="0"/>
        <v>22</v>
      </c>
      <c r="M15" s="513">
        <f t="shared" si="1"/>
        <v>0.44</v>
      </c>
      <c r="N15" s="514" t="s">
        <v>35</v>
      </c>
      <c r="O15" s="515">
        <v>43461</v>
      </c>
      <c r="P15" s="516">
        <v>-5</v>
      </c>
      <c r="Q15" s="517">
        <v>1</v>
      </c>
      <c r="R15" s="517">
        <v>0</v>
      </c>
      <c r="S15" s="518">
        <v>0</v>
      </c>
      <c r="T15" s="519">
        <v>1</v>
      </c>
      <c r="U15" s="520">
        <v>3</v>
      </c>
      <c r="V15" s="520">
        <v>2</v>
      </c>
      <c r="W15" s="520">
        <v>1</v>
      </c>
      <c r="X15" s="520">
        <v>2</v>
      </c>
      <c r="Y15" s="520">
        <v>2</v>
      </c>
      <c r="Z15" s="521">
        <v>-4</v>
      </c>
      <c r="AA15" s="519">
        <v>3</v>
      </c>
      <c r="AB15" s="520">
        <v>1</v>
      </c>
      <c r="AC15" s="520">
        <v>3</v>
      </c>
      <c r="AD15" s="520">
        <v>3</v>
      </c>
      <c r="AE15" s="521">
        <v>0</v>
      </c>
      <c r="AF15" s="519">
        <v>3</v>
      </c>
      <c r="AG15" s="520">
        <v>2</v>
      </c>
      <c r="AH15" s="520">
        <v>0</v>
      </c>
      <c r="AI15" s="520">
        <v>2</v>
      </c>
      <c r="AJ15" s="520">
        <v>1</v>
      </c>
      <c r="AK15" s="520">
        <v>2</v>
      </c>
      <c r="AL15" s="521">
        <v>-1</v>
      </c>
    </row>
    <row r="16" spans="1:38" ht="17.399999999999999" customHeight="1">
      <c r="A16" s="274">
        <v>3208</v>
      </c>
      <c r="B16" s="283" t="s">
        <v>21</v>
      </c>
      <c r="C16" s="283">
        <v>14</v>
      </c>
      <c r="D16" s="276">
        <v>3</v>
      </c>
      <c r="E16" s="261" t="s">
        <v>574</v>
      </c>
      <c r="F16" s="309" t="s">
        <v>679</v>
      </c>
      <c r="G16" s="510">
        <v>43468</v>
      </c>
      <c r="H16" s="511">
        <v>43464</v>
      </c>
      <c r="I16" s="511"/>
      <c r="J16" s="512">
        <v>1</v>
      </c>
      <c r="K16" s="512">
        <v>2</v>
      </c>
      <c r="L16" s="512">
        <f t="shared" si="0"/>
        <v>37</v>
      </c>
      <c r="M16" s="513">
        <f t="shared" si="1"/>
        <v>0.74</v>
      </c>
      <c r="N16" s="514">
        <v>4</v>
      </c>
      <c r="O16" s="515">
        <v>43465</v>
      </c>
      <c r="P16" s="516"/>
      <c r="Q16" s="517">
        <v>2</v>
      </c>
      <c r="R16" s="517">
        <v>2</v>
      </c>
      <c r="S16" s="518">
        <v>5</v>
      </c>
      <c r="T16" s="516">
        <v>1</v>
      </c>
      <c r="U16" s="517">
        <v>3</v>
      </c>
      <c r="V16" s="517">
        <v>2</v>
      </c>
      <c r="W16" s="517">
        <v>1</v>
      </c>
      <c r="X16" s="517">
        <v>2</v>
      </c>
      <c r="Y16" s="517">
        <v>1</v>
      </c>
      <c r="Z16" s="518">
        <v>-1</v>
      </c>
      <c r="AA16" s="516">
        <v>3</v>
      </c>
      <c r="AB16" s="517">
        <v>0</v>
      </c>
      <c r="AC16" s="517">
        <v>3</v>
      </c>
      <c r="AD16" s="517">
        <v>2</v>
      </c>
      <c r="AE16" s="518">
        <v>-1</v>
      </c>
      <c r="AF16" s="516">
        <v>3</v>
      </c>
      <c r="AG16" s="517">
        <v>2</v>
      </c>
      <c r="AH16" s="517">
        <v>2</v>
      </c>
      <c r="AI16" s="517">
        <v>3</v>
      </c>
      <c r="AJ16" s="517">
        <v>1</v>
      </c>
      <c r="AK16" s="517">
        <v>2</v>
      </c>
      <c r="AL16" s="518">
        <v>-1</v>
      </c>
    </row>
    <row r="17" spans="1:38" ht="17.399999999999999" customHeight="1">
      <c r="A17" s="274">
        <v>3351</v>
      </c>
      <c r="B17" s="283" t="s">
        <v>21</v>
      </c>
      <c r="C17" s="283">
        <v>15</v>
      </c>
      <c r="D17" s="276">
        <v>2</v>
      </c>
      <c r="E17" s="287" t="s">
        <v>92</v>
      </c>
      <c r="F17" s="310" t="s">
        <v>82</v>
      </c>
      <c r="G17" s="510">
        <v>43461</v>
      </c>
      <c r="H17" s="511">
        <v>43450</v>
      </c>
      <c r="I17" s="511" t="s">
        <v>711</v>
      </c>
      <c r="J17" s="512">
        <v>1</v>
      </c>
      <c r="K17" s="512">
        <v>2</v>
      </c>
      <c r="L17" s="512">
        <f t="shared" si="0"/>
        <v>1</v>
      </c>
      <c r="M17" s="513">
        <f t="shared" si="1"/>
        <v>0.02</v>
      </c>
      <c r="N17" s="514">
        <v>1</v>
      </c>
      <c r="O17" s="515">
        <v>43461</v>
      </c>
      <c r="P17" s="516"/>
      <c r="Q17" s="517">
        <v>0</v>
      </c>
      <c r="R17" s="517">
        <v>1</v>
      </c>
      <c r="S17" s="518">
        <v>5</v>
      </c>
      <c r="T17" s="516">
        <v>0</v>
      </c>
      <c r="U17" s="517">
        <v>3</v>
      </c>
      <c r="V17" s="517">
        <v>2</v>
      </c>
      <c r="W17" s="517">
        <v>1</v>
      </c>
      <c r="X17" s="517">
        <v>2</v>
      </c>
      <c r="Y17" s="517">
        <v>0</v>
      </c>
      <c r="Z17" s="518">
        <v>-15</v>
      </c>
      <c r="AA17" s="516">
        <v>1</v>
      </c>
      <c r="AB17" s="517">
        <v>2</v>
      </c>
      <c r="AC17" s="517">
        <v>1</v>
      </c>
      <c r="AD17" s="517">
        <v>1</v>
      </c>
      <c r="AE17" s="518">
        <v>-3</v>
      </c>
      <c r="AF17" s="516">
        <v>0</v>
      </c>
      <c r="AG17" s="517">
        <v>0</v>
      </c>
      <c r="AH17" s="517">
        <v>0</v>
      </c>
      <c r="AI17" s="517">
        <v>0</v>
      </c>
      <c r="AJ17" s="517">
        <v>0</v>
      </c>
      <c r="AK17" s="517">
        <v>0</v>
      </c>
      <c r="AL17" s="518">
        <v>0</v>
      </c>
    </row>
    <row r="18" spans="1:38" ht="17.399999999999999" customHeight="1">
      <c r="A18" s="274">
        <v>3209</v>
      </c>
      <c r="B18" s="283" t="s">
        <v>21</v>
      </c>
      <c r="C18" s="283">
        <v>16</v>
      </c>
      <c r="D18" s="276">
        <v>2</v>
      </c>
      <c r="E18" s="261" t="s">
        <v>575</v>
      </c>
      <c r="F18" s="309" t="s">
        <v>0</v>
      </c>
      <c r="G18" s="510">
        <v>43461</v>
      </c>
      <c r="H18" s="511">
        <v>43457</v>
      </c>
      <c r="I18" s="511"/>
      <c r="J18" s="512">
        <v>1</v>
      </c>
      <c r="K18" s="512">
        <v>2</v>
      </c>
      <c r="L18" s="512">
        <f t="shared" si="0"/>
        <v>43</v>
      </c>
      <c r="M18" s="513">
        <f t="shared" si="1"/>
        <v>0.86</v>
      </c>
      <c r="N18" s="514">
        <v>5</v>
      </c>
      <c r="O18" s="515">
        <v>43461</v>
      </c>
      <c r="P18" s="516"/>
      <c r="Q18" s="517">
        <v>2</v>
      </c>
      <c r="R18" s="517">
        <v>2</v>
      </c>
      <c r="S18" s="518">
        <v>5</v>
      </c>
      <c r="T18" s="519">
        <v>1</v>
      </c>
      <c r="U18" s="520">
        <v>3</v>
      </c>
      <c r="V18" s="520">
        <v>2</v>
      </c>
      <c r="W18" s="520">
        <v>0</v>
      </c>
      <c r="X18" s="520">
        <v>2</v>
      </c>
      <c r="Y18" s="520">
        <v>1</v>
      </c>
      <c r="Z18" s="521">
        <v>0</v>
      </c>
      <c r="AA18" s="519">
        <v>3</v>
      </c>
      <c r="AB18" s="520">
        <v>3</v>
      </c>
      <c r="AC18" s="520">
        <v>3</v>
      </c>
      <c r="AD18" s="520">
        <v>4</v>
      </c>
      <c r="AE18" s="521">
        <v>0</v>
      </c>
      <c r="AF18" s="519">
        <v>4</v>
      </c>
      <c r="AG18" s="520">
        <v>2</v>
      </c>
      <c r="AH18" s="520">
        <v>2</v>
      </c>
      <c r="AI18" s="520">
        <v>3</v>
      </c>
      <c r="AJ18" s="520">
        <v>0</v>
      </c>
      <c r="AK18" s="520">
        <v>2</v>
      </c>
      <c r="AL18" s="521">
        <v>-1</v>
      </c>
    </row>
    <row r="19" spans="1:38" ht="17.399999999999999" customHeight="1">
      <c r="A19" s="274">
        <v>3210</v>
      </c>
      <c r="B19" s="275" t="s">
        <v>21</v>
      </c>
      <c r="C19" s="275">
        <v>17</v>
      </c>
      <c r="D19" s="276">
        <v>3</v>
      </c>
      <c r="E19" s="260" t="s">
        <v>576</v>
      </c>
      <c r="F19" s="308" t="s">
        <v>181</v>
      </c>
      <c r="G19" s="510">
        <v>43461</v>
      </c>
      <c r="H19" s="511">
        <v>43450</v>
      </c>
      <c r="I19" s="511"/>
      <c r="J19" s="512">
        <v>1</v>
      </c>
      <c r="K19" s="512">
        <v>2</v>
      </c>
      <c r="L19" s="512">
        <f t="shared" si="0"/>
        <v>47</v>
      </c>
      <c r="M19" s="513">
        <f t="shared" si="1"/>
        <v>0.94</v>
      </c>
      <c r="N19" s="514" t="s">
        <v>36</v>
      </c>
      <c r="O19" s="515">
        <v>43461</v>
      </c>
      <c r="P19" s="516"/>
      <c r="Q19" s="517">
        <v>2</v>
      </c>
      <c r="R19" s="517">
        <v>2</v>
      </c>
      <c r="S19" s="518">
        <v>5</v>
      </c>
      <c r="T19" s="519">
        <v>1</v>
      </c>
      <c r="U19" s="520">
        <v>3</v>
      </c>
      <c r="V19" s="520">
        <v>2</v>
      </c>
      <c r="W19" s="520">
        <v>1</v>
      </c>
      <c r="X19" s="520">
        <v>2</v>
      </c>
      <c r="Y19" s="520">
        <v>2</v>
      </c>
      <c r="Z19" s="521">
        <v>0</v>
      </c>
      <c r="AA19" s="519">
        <v>3</v>
      </c>
      <c r="AB19" s="520">
        <v>3</v>
      </c>
      <c r="AC19" s="520">
        <v>3</v>
      </c>
      <c r="AD19" s="520">
        <v>5</v>
      </c>
      <c r="AE19" s="521">
        <v>0</v>
      </c>
      <c r="AF19" s="519">
        <v>4</v>
      </c>
      <c r="AG19" s="520">
        <v>2</v>
      </c>
      <c r="AH19" s="520">
        <v>2</v>
      </c>
      <c r="AI19" s="520">
        <v>3</v>
      </c>
      <c r="AJ19" s="520">
        <v>1</v>
      </c>
      <c r="AK19" s="520">
        <v>2</v>
      </c>
      <c r="AL19" s="521">
        <v>-1</v>
      </c>
    </row>
    <row r="20" spans="1:38" ht="17.399999999999999" customHeight="1">
      <c r="A20" s="274">
        <v>3211</v>
      </c>
      <c r="B20" s="275" t="s">
        <v>21</v>
      </c>
      <c r="C20" s="275">
        <v>18</v>
      </c>
      <c r="D20" s="276">
        <v>3</v>
      </c>
      <c r="E20" s="260" t="s">
        <v>577</v>
      </c>
      <c r="F20" s="308" t="s">
        <v>125</v>
      </c>
      <c r="G20" s="510">
        <v>43468</v>
      </c>
      <c r="H20" s="511">
        <v>43467</v>
      </c>
      <c r="I20" s="511" t="s">
        <v>755</v>
      </c>
      <c r="J20" s="512">
        <v>1</v>
      </c>
      <c r="K20" s="512">
        <v>2</v>
      </c>
      <c r="L20" s="512">
        <f t="shared" si="0"/>
        <v>20</v>
      </c>
      <c r="M20" s="513">
        <f t="shared" si="1"/>
        <v>0.4</v>
      </c>
      <c r="N20" s="514">
        <v>2</v>
      </c>
      <c r="O20" s="515">
        <v>43468</v>
      </c>
      <c r="P20" s="516"/>
      <c r="Q20" s="517">
        <v>2</v>
      </c>
      <c r="R20" s="517">
        <v>2</v>
      </c>
      <c r="S20" s="518">
        <v>5</v>
      </c>
      <c r="T20" s="519">
        <v>1</v>
      </c>
      <c r="U20" s="520">
        <v>3</v>
      </c>
      <c r="V20" s="520">
        <v>2</v>
      </c>
      <c r="W20" s="520">
        <v>0</v>
      </c>
      <c r="X20" s="520">
        <v>3</v>
      </c>
      <c r="Y20" s="520">
        <v>1</v>
      </c>
      <c r="Z20" s="521">
        <v>-2</v>
      </c>
      <c r="AA20" s="519">
        <v>3</v>
      </c>
      <c r="AB20" s="520">
        <v>0</v>
      </c>
      <c r="AC20" s="520">
        <v>3</v>
      </c>
      <c r="AD20" s="520">
        <v>2</v>
      </c>
      <c r="AE20" s="521">
        <v>-1</v>
      </c>
      <c r="AF20" s="519">
        <v>0</v>
      </c>
      <c r="AG20" s="520">
        <v>0</v>
      </c>
      <c r="AH20" s="520">
        <v>0</v>
      </c>
      <c r="AI20" s="520">
        <v>0</v>
      </c>
      <c r="AJ20" s="520">
        <v>0</v>
      </c>
      <c r="AK20" s="520">
        <v>0</v>
      </c>
      <c r="AL20" s="521">
        <v>-4</v>
      </c>
    </row>
    <row r="21" spans="1:38" ht="17.399999999999999" customHeight="1">
      <c r="A21" s="274">
        <v>3212</v>
      </c>
      <c r="B21" s="283" t="s">
        <v>21</v>
      </c>
      <c r="C21" s="283">
        <v>19</v>
      </c>
      <c r="D21" s="276">
        <v>2</v>
      </c>
      <c r="E21" s="261" t="s">
        <v>672</v>
      </c>
      <c r="F21" s="309" t="s">
        <v>678</v>
      </c>
      <c r="G21" s="510">
        <v>43461</v>
      </c>
      <c r="H21" s="511"/>
      <c r="I21" s="511" t="s">
        <v>208</v>
      </c>
      <c r="J21" s="512">
        <v>1</v>
      </c>
      <c r="K21" s="512">
        <v>2</v>
      </c>
      <c r="L21" s="512">
        <f t="shared" si="0"/>
        <v>0</v>
      </c>
      <c r="M21" s="513">
        <f t="shared" si="1"/>
        <v>0</v>
      </c>
      <c r="N21" s="514">
        <v>1</v>
      </c>
      <c r="O21" s="515">
        <v>43461</v>
      </c>
      <c r="P21" s="516"/>
      <c r="Q21" s="517"/>
      <c r="R21" s="517"/>
      <c r="S21" s="518"/>
      <c r="T21" s="516"/>
      <c r="U21" s="517"/>
      <c r="V21" s="517"/>
      <c r="W21" s="517"/>
      <c r="X21" s="517"/>
      <c r="Y21" s="517"/>
      <c r="Z21" s="518"/>
      <c r="AA21" s="516"/>
      <c r="AB21" s="517"/>
      <c r="AC21" s="517"/>
      <c r="AD21" s="517"/>
      <c r="AE21" s="518"/>
      <c r="AF21" s="516"/>
      <c r="AG21" s="517"/>
      <c r="AH21" s="517"/>
      <c r="AI21" s="517"/>
      <c r="AJ21" s="517"/>
      <c r="AK21" s="517"/>
      <c r="AL21" s="518"/>
    </row>
    <row r="22" spans="1:38" ht="17.399999999999999" customHeight="1">
      <c r="A22" s="274">
        <v>3213</v>
      </c>
      <c r="B22" s="275" t="s">
        <v>21</v>
      </c>
      <c r="C22" s="275">
        <v>20</v>
      </c>
      <c r="D22" s="276">
        <v>1</v>
      </c>
      <c r="E22" s="260" t="s">
        <v>380</v>
      </c>
      <c r="F22" s="308" t="s">
        <v>80</v>
      </c>
      <c r="G22" s="510">
        <v>43461</v>
      </c>
      <c r="H22" s="511">
        <v>43450</v>
      </c>
      <c r="I22" s="511"/>
      <c r="J22" s="512">
        <v>1</v>
      </c>
      <c r="K22" s="512">
        <v>2</v>
      </c>
      <c r="L22" s="512">
        <f t="shared" si="0"/>
        <v>45</v>
      </c>
      <c r="M22" s="513">
        <f t="shared" si="1"/>
        <v>0.9</v>
      </c>
      <c r="N22" s="514">
        <v>5</v>
      </c>
      <c r="O22" s="515">
        <v>43461</v>
      </c>
      <c r="P22" s="516"/>
      <c r="Q22" s="517">
        <v>2</v>
      </c>
      <c r="R22" s="517">
        <v>2</v>
      </c>
      <c r="S22" s="518">
        <v>5</v>
      </c>
      <c r="T22" s="516">
        <v>1</v>
      </c>
      <c r="U22" s="517">
        <v>3</v>
      </c>
      <c r="V22" s="517">
        <v>2</v>
      </c>
      <c r="W22" s="517">
        <v>1</v>
      </c>
      <c r="X22" s="517">
        <v>2</v>
      </c>
      <c r="Y22" s="517">
        <v>2</v>
      </c>
      <c r="Z22" s="518">
        <v>-1</v>
      </c>
      <c r="AA22" s="516">
        <v>3</v>
      </c>
      <c r="AB22" s="517">
        <v>2</v>
      </c>
      <c r="AC22" s="517">
        <v>3</v>
      </c>
      <c r="AD22" s="517">
        <v>4</v>
      </c>
      <c r="AE22" s="518">
        <v>0</v>
      </c>
      <c r="AF22" s="516">
        <v>4</v>
      </c>
      <c r="AG22" s="517">
        <v>2</v>
      </c>
      <c r="AH22" s="517">
        <v>2</v>
      </c>
      <c r="AI22" s="517">
        <v>3</v>
      </c>
      <c r="AJ22" s="517">
        <v>1</v>
      </c>
      <c r="AK22" s="517">
        <v>2</v>
      </c>
      <c r="AL22" s="518">
        <v>0</v>
      </c>
    </row>
    <row r="23" spans="1:38" ht="17.399999999999999" customHeight="1">
      <c r="A23" s="274">
        <v>3214</v>
      </c>
      <c r="B23" s="275" t="s">
        <v>21</v>
      </c>
      <c r="C23" s="275">
        <v>21</v>
      </c>
      <c r="D23" s="276">
        <v>1</v>
      </c>
      <c r="E23" s="260" t="s">
        <v>122</v>
      </c>
      <c r="F23" s="308" t="s">
        <v>79</v>
      </c>
      <c r="G23" s="510">
        <v>43461</v>
      </c>
      <c r="H23" s="511">
        <v>43450</v>
      </c>
      <c r="I23" s="511" t="s">
        <v>705</v>
      </c>
      <c r="J23" s="512">
        <v>1</v>
      </c>
      <c r="K23" s="512">
        <v>2</v>
      </c>
      <c r="L23" s="512">
        <f t="shared" si="0"/>
        <v>18</v>
      </c>
      <c r="M23" s="513">
        <f t="shared" si="1"/>
        <v>0.36</v>
      </c>
      <c r="N23" s="514">
        <v>2</v>
      </c>
      <c r="O23" s="515">
        <v>43461</v>
      </c>
      <c r="P23" s="516">
        <v>-5</v>
      </c>
      <c r="Q23" s="517">
        <v>0</v>
      </c>
      <c r="R23" s="517">
        <v>2</v>
      </c>
      <c r="S23" s="518">
        <v>0</v>
      </c>
      <c r="T23" s="516" t="s">
        <v>699</v>
      </c>
      <c r="U23" s="517">
        <v>3</v>
      </c>
      <c r="V23" s="517">
        <v>2</v>
      </c>
      <c r="W23" s="517">
        <v>0</v>
      </c>
      <c r="X23" s="517">
        <v>2</v>
      </c>
      <c r="Y23" s="517">
        <v>2</v>
      </c>
      <c r="Z23" s="518">
        <v>-1</v>
      </c>
      <c r="AA23" s="516">
        <v>2</v>
      </c>
      <c r="AB23" s="517">
        <v>0</v>
      </c>
      <c r="AC23" s="517">
        <v>3</v>
      </c>
      <c r="AD23" s="517">
        <v>3</v>
      </c>
      <c r="AE23" s="518">
        <v>0</v>
      </c>
      <c r="AF23" s="516">
        <v>2</v>
      </c>
      <c r="AG23" s="517">
        <v>2</v>
      </c>
      <c r="AH23" s="517">
        <v>2</v>
      </c>
      <c r="AI23" s="517">
        <v>1</v>
      </c>
      <c r="AJ23" s="517">
        <v>0</v>
      </c>
      <c r="AK23" s="517">
        <v>0</v>
      </c>
      <c r="AL23" s="518">
        <v>-2</v>
      </c>
    </row>
    <row r="24" spans="1:38" ht="17.399999999999999" customHeight="1">
      <c r="A24" s="274">
        <v>3215</v>
      </c>
      <c r="B24" s="275" t="s">
        <v>21</v>
      </c>
      <c r="C24" s="275">
        <v>22</v>
      </c>
      <c r="D24" s="276">
        <v>3</v>
      </c>
      <c r="E24" s="260" t="s">
        <v>578</v>
      </c>
      <c r="F24" s="308" t="s">
        <v>65</v>
      </c>
      <c r="G24" s="510">
        <v>43461</v>
      </c>
      <c r="H24" s="511">
        <v>43447</v>
      </c>
      <c r="I24" s="511" t="s">
        <v>705</v>
      </c>
      <c r="J24" s="512">
        <v>1</v>
      </c>
      <c r="K24" s="512">
        <v>2</v>
      </c>
      <c r="L24" s="512">
        <f>SUM(P24:AL24)</f>
        <v>28</v>
      </c>
      <c r="M24" s="513">
        <f>L24/$L$2</f>
        <v>0.56000000000000005</v>
      </c>
      <c r="N24" s="514">
        <v>3</v>
      </c>
      <c r="O24" s="515">
        <v>43461</v>
      </c>
      <c r="P24" s="516">
        <v>-5</v>
      </c>
      <c r="Q24" s="517">
        <v>2</v>
      </c>
      <c r="R24" s="517">
        <v>2</v>
      </c>
      <c r="S24" s="518">
        <v>0</v>
      </c>
      <c r="T24" s="516">
        <v>1</v>
      </c>
      <c r="U24" s="517">
        <v>3</v>
      </c>
      <c r="V24" s="517">
        <v>2</v>
      </c>
      <c r="W24" s="517">
        <v>1</v>
      </c>
      <c r="X24" s="517">
        <v>2</v>
      </c>
      <c r="Y24" s="517">
        <v>1</v>
      </c>
      <c r="Z24" s="518">
        <v>-1</v>
      </c>
      <c r="AA24" s="516">
        <v>2</v>
      </c>
      <c r="AB24" s="517">
        <v>3</v>
      </c>
      <c r="AC24" s="517">
        <v>3</v>
      </c>
      <c r="AD24" s="517">
        <v>3</v>
      </c>
      <c r="AE24" s="518">
        <v>-3</v>
      </c>
      <c r="AF24" s="516">
        <v>4</v>
      </c>
      <c r="AG24" s="517">
        <v>2</v>
      </c>
      <c r="AH24" s="517">
        <v>2</v>
      </c>
      <c r="AI24" s="517">
        <v>1</v>
      </c>
      <c r="AJ24" s="517">
        <v>1</v>
      </c>
      <c r="AK24" s="517">
        <v>2</v>
      </c>
      <c r="AL24" s="518">
        <v>0</v>
      </c>
    </row>
    <row r="25" spans="1:38" ht="17.399999999999999" customHeight="1">
      <c r="A25" s="274">
        <v>3216</v>
      </c>
      <c r="B25" s="275" t="s">
        <v>21</v>
      </c>
      <c r="C25" s="275">
        <v>23</v>
      </c>
      <c r="D25" s="276">
        <v>1</v>
      </c>
      <c r="E25" s="260" t="s">
        <v>579</v>
      </c>
      <c r="F25" s="308" t="s">
        <v>127</v>
      </c>
      <c r="G25" s="510">
        <v>43461</v>
      </c>
      <c r="H25" s="511"/>
      <c r="I25" s="522" t="s">
        <v>208</v>
      </c>
      <c r="J25" s="512">
        <v>1</v>
      </c>
      <c r="K25" s="512">
        <v>0.25</v>
      </c>
      <c r="L25" s="512">
        <f t="shared" si="0"/>
        <v>0</v>
      </c>
      <c r="M25" s="513">
        <f t="shared" si="1"/>
        <v>0</v>
      </c>
      <c r="N25" s="514">
        <v>1</v>
      </c>
      <c r="O25" s="515">
        <v>43461</v>
      </c>
      <c r="P25" s="516"/>
      <c r="Q25" s="517"/>
      <c r="R25" s="517"/>
      <c r="S25" s="518"/>
      <c r="T25" s="516"/>
      <c r="U25" s="517"/>
      <c r="V25" s="517"/>
      <c r="W25" s="517"/>
      <c r="X25" s="517"/>
      <c r="Y25" s="517"/>
      <c r="Z25" s="518"/>
      <c r="AA25" s="516"/>
      <c r="AB25" s="517"/>
      <c r="AC25" s="517"/>
      <c r="AD25" s="517"/>
      <c r="AE25" s="518"/>
      <c r="AF25" s="516"/>
      <c r="AG25" s="517"/>
      <c r="AH25" s="517"/>
      <c r="AI25" s="517"/>
      <c r="AJ25" s="517"/>
      <c r="AK25" s="517"/>
      <c r="AL25" s="518"/>
    </row>
    <row r="26" spans="1:38" ht="17.399999999999999" customHeight="1">
      <c r="A26" s="274">
        <v>3216</v>
      </c>
      <c r="B26" s="275" t="s">
        <v>21</v>
      </c>
      <c r="C26" s="275">
        <v>23</v>
      </c>
      <c r="D26" s="276">
        <v>1</v>
      </c>
      <c r="E26" s="260" t="s">
        <v>579</v>
      </c>
      <c r="F26" s="308" t="s">
        <v>127</v>
      </c>
      <c r="G26" s="510"/>
      <c r="H26" s="511">
        <v>43471</v>
      </c>
      <c r="I26" s="522" t="s">
        <v>705</v>
      </c>
      <c r="J26" s="512">
        <v>2</v>
      </c>
      <c r="K26" s="512">
        <v>1.75</v>
      </c>
      <c r="L26" s="512">
        <f t="shared" si="0"/>
        <v>28</v>
      </c>
      <c r="M26" s="513">
        <f t="shared" si="1"/>
        <v>0.56000000000000005</v>
      </c>
      <c r="N26" s="514">
        <v>3</v>
      </c>
      <c r="O26" s="515">
        <v>43474</v>
      </c>
      <c r="P26" s="516">
        <v>-5</v>
      </c>
      <c r="Q26" s="517">
        <v>2</v>
      </c>
      <c r="R26" s="517">
        <v>2</v>
      </c>
      <c r="S26" s="518">
        <v>0</v>
      </c>
      <c r="T26" s="516">
        <v>1</v>
      </c>
      <c r="U26" s="517">
        <v>2</v>
      </c>
      <c r="V26" s="517">
        <v>2</v>
      </c>
      <c r="W26" s="517">
        <v>0</v>
      </c>
      <c r="X26" s="517">
        <v>1</v>
      </c>
      <c r="Y26" s="517">
        <v>2</v>
      </c>
      <c r="Z26" s="518">
        <v>0</v>
      </c>
      <c r="AA26" s="516">
        <v>3</v>
      </c>
      <c r="AB26" s="517">
        <v>3</v>
      </c>
      <c r="AC26" s="517">
        <v>3</v>
      </c>
      <c r="AD26" s="517">
        <v>5</v>
      </c>
      <c r="AE26" s="518">
        <v>-1</v>
      </c>
      <c r="AF26" s="516">
        <v>4</v>
      </c>
      <c r="AG26" s="517">
        <v>2</v>
      </c>
      <c r="AH26" s="517">
        <v>2</v>
      </c>
      <c r="AI26" s="517">
        <v>3</v>
      </c>
      <c r="AJ26" s="517">
        <v>0</v>
      </c>
      <c r="AK26" s="517">
        <v>1</v>
      </c>
      <c r="AL26" s="518">
        <v>-4</v>
      </c>
    </row>
    <row r="27" spans="1:38" ht="17.399999999999999" customHeight="1">
      <c r="A27" s="274">
        <v>3217</v>
      </c>
      <c r="B27" s="283" t="s">
        <v>21</v>
      </c>
      <c r="C27" s="283">
        <v>24</v>
      </c>
      <c r="D27" s="276">
        <v>2</v>
      </c>
      <c r="E27" s="261" t="s">
        <v>439</v>
      </c>
      <c r="F27" s="309" t="s">
        <v>47</v>
      </c>
      <c r="G27" s="510">
        <v>43461</v>
      </c>
      <c r="H27" s="511">
        <v>43460</v>
      </c>
      <c r="I27" s="511" t="s">
        <v>712</v>
      </c>
      <c r="J27" s="512">
        <v>1</v>
      </c>
      <c r="K27" s="512">
        <v>2</v>
      </c>
      <c r="L27" s="512">
        <f t="shared" si="0"/>
        <v>27</v>
      </c>
      <c r="M27" s="513">
        <f t="shared" si="1"/>
        <v>0.54</v>
      </c>
      <c r="N27" s="514" t="s">
        <v>31</v>
      </c>
      <c r="O27" s="515">
        <v>43461</v>
      </c>
      <c r="P27" s="516">
        <v>-8</v>
      </c>
      <c r="Q27" s="517">
        <v>2</v>
      </c>
      <c r="R27" s="517">
        <v>2</v>
      </c>
      <c r="S27" s="518">
        <v>0</v>
      </c>
      <c r="T27" s="516">
        <v>3</v>
      </c>
      <c r="U27" s="517">
        <v>3</v>
      </c>
      <c r="V27" s="517">
        <v>2</v>
      </c>
      <c r="W27" s="517">
        <v>1</v>
      </c>
      <c r="X27" s="517">
        <v>2</v>
      </c>
      <c r="Y27" s="517">
        <v>2</v>
      </c>
      <c r="Z27" s="518">
        <v>-3</v>
      </c>
      <c r="AA27" s="516">
        <v>3</v>
      </c>
      <c r="AB27" s="517">
        <v>0</v>
      </c>
      <c r="AC27" s="517">
        <v>2</v>
      </c>
      <c r="AD27" s="517">
        <v>4</v>
      </c>
      <c r="AE27" s="518">
        <v>0</v>
      </c>
      <c r="AF27" s="516">
        <v>2</v>
      </c>
      <c r="AG27" s="517">
        <v>2</v>
      </c>
      <c r="AH27" s="517">
        <v>2</v>
      </c>
      <c r="AI27" s="517">
        <v>3</v>
      </c>
      <c r="AJ27" s="517">
        <v>1</v>
      </c>
      <c r="AK27" s="517">
        <v>2</v>
      </c>
      <c r="AL27" s="518">
        <v>0</v>
      </c>
    </row>
    <row r="28" spans="1:38" ht="17.399999999999999" customHeight="1">
      <c r="A28" s="274">
        <v>3218</v>
      </c>
      <c r="B28" s="275" t="s">
        <v>21</v>
      </c>
      <c r="C28" s="275">
        <v>25</v>
      </c>
      <c r="D28" s="276">
        <v>3</v>
      </c>
      <c r="E28" s="260" t="s">
        <v>580</v>
      </c>
      <c r="F28" s="308" t="s">
        <v>11</v>
      </c>
      <c r="G28" s="510">
        <v>43461</v>
      </c>
      <c r="H28" s="511">
        <v>43460</v>
      </c>
      <c r="I28" s="511" t="s">
        <v>714</v>
      </c>
      <c r="J28" s="512">
        <v>1</v>
      </c>
      <c r="K28" s="512">
        <v>2</v>
      </c>
      <c r="L28" s="512">
        <f t="shared" si="0"/>
        <v>25</v>
      </c>
      <c r="M28" s="513">
        <f t="shared" si="1"/>
        <v>0.5</v>
      </c>
      <c r="N28" s="514" t="s">
        <v>35</v>
      </c>
      <c r="O28" s="515">
        <v>43461</v>
      </c>
      <c r="P28" s="516">
        <v>-13</v>
      </c>
      <c r="Q28" s="517">
        <v>2</v>
      </c>
      <c r="R28" s="517">
        <v>2</v>
      </c>
      <c r="S28" s="518">
        <v>0</v>
      </c>
      <c r="T28" s="516">
        <v>1</v>
      </c>
      <c r="U28" s="517">
        <v>3</v>
      </c>
      <c r="V28" s="517">
        <v>2</v>
      </c>
      <c r="W28" s="517">
        <v>1</v>
      </c>
      <c r="X28" s="517">
        <v>2</v>
      </c>
      <c r="Y28" s="517">
        <v>2</v>
      </c>
      <c r="Z28" s="518">
        <v>-1</v>
      </c>
      <c r="AA28" s="516">
        <v>3</v>
      </c>
      <c r="AB28" s="517">
        <v>2</v>
      </c>
      <c r="AC28" s="517">
        <v>3</v>
      </c>
      <c r="AD28" s="517">
        <v>5</v>
      </c>
      <c r="AE28" s="518">
        <v>-1</v>
      </c>
      <c r="AF28" s="519">
        <v>3</v>
      </c>
      <c r="AG28" s="520">
        <v>2</v>
      </c>
      <c r="AH28" s="520">
        <v>2</v>
      </c>
      <c r="AI28" s="520">
        <v>3</v>
      </c>
      <c r="AJ28" s="520">
        <v>1</v>
      </c>
      <c r="AK28" s="520">
        <v>2</v>
      </c>
      <c r="AL28" s="521">
        <v>-1</v>
      </c>
    </row>
    <row r="29" spans="1:38" ht="17.399999999999999" customHeight="1">
      <c r="A29" s="274">
        <v>3219</v>
      </c>
      <c r="B29" s="283" t="s">
        <v>21</v>
      </c>
      <c r="C29" s="283">
        <v>26</v>
      </c>
      <c r="D29" s="276">
        <v>3</v>
      </c>
      <c r="E29" s="261" t="s">
        <v>581</v>
      </c>
      <c r="F29" s="309" t="s">
        <v>685</v>
      </c>
      <c r="G29" s="510">
        <v>43461</v>
      </c>
      <c r="H29" s="511">
        <v>43450</v>
      </c>
      <c r="I29" s="511" t="s">
        <v>709</v>
      </c>
      <c r="J29" s="512">
        <v>1</v>
      </c>
      <c r="K29" s="512">
        <v>2</v>
      </c>
      <c r="L29" s="512">
        <f>SUM(P29:AL29)</f>
        <v>25</v>
      </c>
      <c r="M29" s="513">
        <f>L29/$L$2</f>
        <v>0.5</v>
      </c>
      <c r="N29" s="514" t="s">
        <v>35</v>
      </c>
      <c r="O29" s="515">
        <v>43461</v>
      </c>
      <c r="P29" s="516">
        <v>-6</v>
      </c>
      <c r="Q29" s="517">
        <v>2</v>
      </c>
      <c r="R29" s="517">
        <v>2</v>
      </c>
      <c r="S29" s="518">
        <v>5</v>
      </c>
      <c r="T29" s="516">
        <v>1</v>
      </c>
      <c r="U29" s="517">
        <v>3</v>
      </c>
      <c r="V29" s="517">
        <v>2</v>
      </c>
      <c r="W29" s="517">
        <v>1</v>
      </c>
      <c r="X29" s="517">
        <v>2</v>
      </c>
      <c r="Y29" s="517">
        <v>1</v>
      </c>
      <c r="Z29" s="518">
        <v>-3</v>
      </c>
      <c r="AA29" s="516">
        <v>3</v>
      </c>
      <c r="AB29" s="517">
        <v>0</v>
      </c>
      <c r="AC29" s="517">
        <v>2</v>
      </c>
      <c r="AD29" s="517">
        <v>2</v>
      </c>
      <c r="AE29" s="518">
        <v>-2</v>
      </c>
      <c r="AF29" s="516">
        <v>3</v>
      </c>
      <c r="AG29" s="517">
        <v>2</v>
      </c>
      <c r="AH29" s="517">
        <v>2</v>
      </c>
      <c r="AI29" s="517">
        <v>2</v>
      </c>
      <c r="AJ29" s="517">
        <v>1</v>
      </c>
      <c r="AK29" s="517">
        <v>2</v>
      </c>
      <c r="AL29" s="518">
        <v>-2</v>
      </c>
    </row>
    <row r="30" spans="1:38" ht="17.399999999999999" customHeight="1">
      <c r="A30" s="274">
        <v>3220</v>
      </c>
      <c r="B30" s="275" t="s">
        <v>21</v>
      </c>
      <c r="C30" s="275">
        <v>27</v>
      </c>
      <c r="D30" s="276">
        <v>1</v>
      </c>
      <c r="E30" s="260" t="s">
        <v>582</v>
      </c>
      <c r="F30" s="308" t="s">
        <v>593</v>
      </c>
      <c r="G30" s="510">
        <v>43461</v>
      </c>
      <c r="H30" s="511">
        <v>43447</v>
      </c>
      <c r="I30" s="511" t="s">
        <v>705</v>
      </c>
      <c r="J30" s="512">
        <v>1</v>
      </c>
      <c r="K30" s="512">
        <v>2</v>
      </c>
      <c r="L30" s="512">
        <f t="shared" si="0"/>
        <v>31</v>
      </c>
      <c r="M30" s="513">
        <f t="shared" si="1"/>
        <v>0.62</v>
      </c>
      <c r="N30" s="514" t="s">
        <v>32</v>
      </c>
      <c r="O30" s="515">
        <v>43461</v>
      </c>
      <c r="P30" s="516">
        <v>-5</v>
      </c>
      <c r="Q30" s="517">
        <v>2</v>
      </c>
      <c r="R30" s="517">
        <v>2</v>
      </c>
      <c r="S30" s="518">
        <v>0</v>
      </c>
      <c r="T30" s="516">
        <v>1</v>
      </c>
      <c r="U30" s="517">
        <v>3</v>
      </c>
      <c r="V30" s="517">
        <v>2</v>
      </c>
      <c r="W30" s="517">
        <v>1</v>
      </c>
      <c r="X30" s="517">
        <v>2</v>
      </c>
      <c r="Y30" s="517">
        <v>2</v>
      </c>
      <c r="Z30" s="518">
        <v>-1</v>
      </c>
      <c r="AA30" s="516">
        <v>3</v>
      </c>
      <c r="AB30" s="517">
        <v>3</v>
      </c>
      <c r="AC30" s="517">
        <v>3</v>
      </c>
      <c r="AD30" s="517">
        <v>5</v>
      </c>
      <c r="AE30" s="518">
        <v>0</v>
      </c>
      <c r="AF30" s="516">
        <v>3</v>
      </c>
      <c r="AG30" s="517">
        <v>2</v>
      </c>
      <c r="AH30" s="517">
        <v>0</v>
      </c>
      <c r="AI30" s="517">
        <v>2</v>
      </c>
      <c r="AJ30" s="517">
        <v>1</v>
      </c>
      <c r="AK30" s="517">
        <v>2</v>
      </c>
      <c r="AL30" s="518">
        <v>-2</v>
      </c>
    </row>
    <row r="31" spans="1:38" ht="17.399999999999999" customHeight="1">
      <c r="A31" s="274">
        <v>3221</v>
      </c>
      <c r="B31" s="283" t="s">
        <v>21</v>
      </c>
      <c r="C31" s="283">
        <v>28</v>
      </c>
      <c r="D31" s="276">
        <v>2</v>
      </c>
      <c r="E31" s="261" t="s">
        <v>583</v>
      </c>
      <c r="F31" s="309" t="s">
        <v>127</v>
      </c>
      <c r="G31" s="510">
        <v>43461</v>
      </c>
      <c r="H31" s="523"/>
      <c r="I31" s="523" t="s">
        <v>208</v>
      </c>
      <c r="J31" s="512">
        <v>1</v>
      </c>
      <c r="K31" s="512">
        <v>2</v>
      </c>
      <c r="L31" s="514">
        <f t="shared" si="0"/>
        <v>0</v>
      </c>
      <c r="M31" s="524">
        <f t="shared" si="1"/>
        <v>0</v>
      </c>
      <c r="N31" s="514">
        <v>1</v>
      </c>
      <c r="O31" s="515">
        <v>43461</v>
      </c>
      <c r="P31" s="516"/>
      <c r="Q31" s="517"/>
      <c r="R31" s="517"/>
      <c r="S31" s="518"/>
      <c r="T31" s="516"/>
      <c r="U31" s="517"/>
      <c r="V31" s="517"/>
      <c r="W31" s="517"/>
      <c r="X31" s="517"/>
      <c r="Y31" s="517"/>
      <c r="Z31" s="518"/>
      <c r="AA31" s="516"/>
      <c r="AB31" s="517"/>
      <c r="AC31" s="517"/>
      <c r="AD31" s="517"/>
      <c r="AE31" s="518"/>
      <c r="AF31" s="516"/>
      <c r="AG31" s="517"/>
      <c r="AH31" s="517"/>
      <c r="AI31" s="517"/>
      <c r="AJ31" s="517"/>
      <c r="AK31" s="517"/>
      <c r="AL31" s="518"/>
    </row>
    <row r="32" spans="1:38" ht="17.399999999999999" customHeight="1">
      <c r="A32" s="274">
        <v>3222</v>
      </c>
      <c r="B32" s="283" t="s">
        <v>21</v>
      </c>
      <c r="C32" s="283">
        <v>29</v>
      </c>
      <c r="D32" s="276">
        <v>1</v>
      </c>
      <c r="E32" s="261" t="s">
        <v>584</v>
      </c>
      <c r="F32" s="309" t="s">
        <v>12</v>
      </c>
      <c r="G32" s="510">
        <v>43468</v>
      </c>
      <c r="H32" s="523">
        <v>43467</v>
      </c>
      <c r="I32" s="523" t="s">
        <v>211</v>
      </c>
      <c r="J32" s="512">
        <v>1</v>
      </c>
      <c r="K32" s="512">
        <v>2</v>
      </c>
      <c r="L32" s="514">
        <f t="shared" si="0"/>
        <v>21</v>
      </c>
      <c r="M32" s="524">
        <f t="shared" si="1"/>
        <v>0.42</v>
      </c>
      <c r="N32" s="514">
        <v>2</v>
      </c>
      <c r="O32" s="515">
        <v>43468</v>
      </c>
      <c r="P32" s="516"/>
      <c r="Q32" s="517">
        <v>0</v>
      </c>
      <c r="R32" s="517">
        <v>2</v>
      </c>
      <c r="S32" s="518">
        <v>2</v>
      </c>
      <c r="T32" s="516">
        <v>2</v>
      </c>
      <c r="U32" s="517">
        <v>2</v>
      </c>
      <c r="V32" s="517">
        <v>2</v>
      </c>
      <c r="W32" s="517">
        <v>1</v>
      </c>
      <c r="X32" s="517">
        <v>1</v>
      </c>
      <c r="Y32" s="517">
        <v>1</v>
      </c>
      <c r="Z32" s="518">
        <v>0</v>
      </c>
      <c r="AA32" s="516">
        <v>3</v>
      </c>
      <c r="AB32" s="517">
        <v>3</v>
      </c>
      <c r="AC32" s="517">
        <v>3</v>
      </c>
      <c r="AD32" s="517">
        <v>3</v>
      </c>
      <c r="AE32" s="518">
        <v>0</v>
      </c>
      <c r="AF32" s="516">
        <v>1</v>
      </c>
      <c r="AG32" s="517">
        <v>2</v>
      </c>
      <c r="AH32" s="517">
        <v>2</v>
      </c>
      <c r="AI32" s="517">
        <v>1</v>
      </c>
      <c r="AJ32" s="517">
        <v>1</v>
      </c>
      <c r="AK32" s="517">
        <v>1</v>
      </c>
      <c r="AL32" s="518">
        <v>-12</v>
      </c>
    </row>
    <row r="33" spans="1:38" ht="17.399999999999999" customHeight="1">
      <c r="A33" s="274">
        <v>3350</v>
      </c>
      <c r="B33" s="283" t="s">
        <v>21</v>
      </c>
      <c r="C33" s="283">
        <v>30</v>
      </c>
      <c r="D33" s="276">
        <v>2</v>
      </c>
      <c r="E33" s="287" t="s">
        <v>59</v>
      </c>
      <c r="F33" s="310" t="s">
        <v>379</v>
      </c>
      <c r="G33" s="510">
        <v>43461</v>
      </c>
      <c r="H33" s="523"/>
      <c r="I33" s="523" t="s">
        <v>208</v>
      </c>
      <c r="J33" s="512">
        <v>1</v>
      </c>
      <c r="K33" s="512">
        <v>2</v>
      </c>
      <c r="L33" s="514">
        <f>SUM(P33:AL33)</f>
        <v>0</v>
      </c>
      <c r="M33" s="524">
        <f>L33/$L$2</f>
        <v>0</v>
      </c>
      <c r="N33" s="514">
        <v>1</v>
      </c>
      <c r="O33" s="515">
        <v>43461</v>
      </c>
      <c r="P33" s="516"/>
      <c r="Q33" s="517"/>
      <c r="R33" s="517"/>
      <c r="S33" s="518"/>
      <c r="T33" s="516"/>
      <c r="U33" s="517"/>
      <c r="V33" s="517"/>
      <c r="W33" s="517"/>
      <c r="X33" s="517"/>
      <c r="Y33" s="517"/>
      <c r="Z33" s="518"/>
      <c r="AA33" s="516"/>
      <c r="AB33" s="517"/>
      <c r="AC33" s="517"/>
      <c r="AD33" s="517"/>
      <c r="AE33" s="518"/>
      <c r="AF33" s="516"/>
      <c r="AG33" s="517"/>
      <c r="AH33" s="517"/>
      <c r="AI33" s="517"/>
      <c r="AJ33" s="517"/>
      <c r="AK33" s="517"/>
      <c r="AL33" s="518"/>
    </row>
    <row r="34" spans="1:38" ht="17.399999999999999" customHeight="1">
      <c r="A34" s="274">
        <v>3223</v>
      </c>
      <c r="B34" s="283" t="s">
        <v>21</v>
      </c>
      <c r="C34" s="283">
        <v>31</v>
      </c>
      <c r="D34" s="276">
        <v>2</v>
      </c>
      <c r="E34" s="261" t="s">
        <v>413</v>
      </c>
      <c r="F34" s="309" t="s">
        <v>9</v>
      </c>
      <c r="G34" s="510">
        <v>43461</v>
      </c>
      <c r="H34" s="523">
        <v>43460</v>
      </c>
      <c r="I34" s="523"/>
      <c r="J34" s="512">
        <v>1</v>
      </c>
      <c r="K34" s="512">
        <v>2</v>
      </c>
      <c r="L34" s="514">
        <f t="shared" si="0"/>
        <v>36</v>
      </c>
      <c r="M34" s="524">
        <f t="shared" si="1"/>
        <v>0.72</v>
      </c>
      <c r="N34" s="514">
        <v>4</v>
      </c>
      <c r="O34" s="515">
        <v>43461</v>
      </c>
      <c r="P34" s="516"/>
      <c r="Q34" s="517">
        <v>2</v>
      </c>
      <c r="R34" s="517">
        <v>2</v>
      </c>
      <c r="S34" s="518">
        <v>5</v>
      </c>
      <c r="T34" s="516">
        <v>1</v>
      </c>
      <c r="U34" s="517">
        <v>3</v>
      </c>
      <c r="V34" s="517">
        <v>2</v>
      </c>
      <c r="W34" s="517">
        <v>0</v>
      </c>
      <c r="X34" s="517">
        <v>2</v>
      </c>
      <c r="Y34" s="517">
        <v>0</v>
      </c>
      <c r="Z34" s="518">
        <v>-3</v>
      </c>
      <c r="AA34" s="516">
        <v>3</v>
      </c>
      <c r="AB34" s="517">
        <v>0</v>
      </c>
      <c r="AC34" s="517">
        <v>3</v>
      </c>
      <c r="AD34" s="517">
        <v>3</v>
      </c>
      <c r="AE34" s="518">
        <v>0</v>
      </c>
      <c r="AF34" s="516">
        <v>3</v>
      </c>
      <c r="AG34" s="517">
        <v>2</v>
      </c>
      <c r="AH34" s="517">
        <v>2</v>
      </c>
      <c r="AI34" s="517">
        <v>3</v>
      </c>
      <c r="AJ34" s="517">
        <v>1</v>
      </c>
      <c r="AK34" s="517">
        <v>2</v>
      </c>
      <c r="AL34" s="518">
        <v>0</v>
      </c>
    </row>
    <row r="35" spans="1:38" ht="17.399999999999999" customHeight="1">
      <c r="A35" s="274">
        <v>3224</v>
      </c>
      <c r="B35" s="275" t="s">
        <v>21</v>
      </c>
      <c r="C35" s="275">
        <v>32</v>
      </c>
      <c r="D35" s="276">
        <v>1</v>
      </c>
      <c r="E35" s="260" t="s">
        <v>1</v>
      </c>
      <c r="F35" s="308" t="s">
        <v>19</v>
      </c>
      <c r="G35" s="510">
        <v>43474</v>
      </c>
      <c r="H35" s="523">
        <v>43474</v>
      </c>
      <c r="I35" s="523"/>
      <c r="J35" s="512">
        <v>1</v>
      </c>
      <c r="K35" s="512">
        <v>2</v>
      </c>
      <c r="L35" s="514">
        <f t="shared" si="0"/>
        <v>38</v>
      </c>
      <c r="M35" s="524">
        <f t="shared" si="1"/>
        <v>0.76</v>
      </c>
      <c r="N35" s="514">
        <v>4</v>
      </c>
      <c r="O35" s="515">
        <v>43475</v>
      </c>
      <c r="P35" s="516"/>
      <c r="Q35" s="517">
        <v>2</v>
      </c>
      <c r="R35" s="517">
        <v>2</v>
      </c>
      <c r="S35" s="518">
        <v>5</v>
      </c>
      <c r="T35" s="516">
        <v>1</v>
      </c>
      <c r="U35" s="517">
        <v>3</v>
      </c>
      <c r="V35" s="517">
        <v>2</v>
      </c>
      <c r="W35" s="517">
        <v>0</v>
      </c>
      <c r="X35" s="517">
        <v>2</v>
      </c>
      <c r="Y35" s="517">
        <v>2</v>
      </c>
      <c r="Z35" s="518">
        <v>0</v>
      </c>
      <c r="AA35" s="516">
        <v>3</v>
      </c>
      <c r="AB35" s="517">
        <v>0</v>
      </c>
      <c r="AC35" s="517">
        <v>3</v>
      </c>
      <c r="AD35" s="517">
        <v>4</v>
      </c>
      <c r="AE35" s="518">
        <v>0</v>
      </c>
      <c r="AF35" s="516">
        <v>4</v>
      </c>
      <c r="AG35" s="517">
        <v>2</v>
      </c>
      <c r="AH35" s="517">
        <v>2</v>
      </c>
      <c r="AI35" s="517">
        <v>1</v>
      </c>
      <c r="AJ35" s="517">
        <v>0</v>
      </c>
      <c r="AK35" s="517">
        <v>0</v>
      </c>
      <c r="AL35" s="518">
        <v>0</v>
      </c>
    </row>
    <row r="36" spans="1:38" ht="17.399999999999999" customHeight="1">
      <c r="A36" s="274">
        <v>3225</v>
      </c>
      <c r="B36" s="283" t="s">
        <v>21</v>
      </c>
      <c r="C36" s="283">
        <v>33</v>
      </c>
      <c r="D36" s="276">
        <v>2</v>
      </c>
      <c r="E36" s="261" t="s">
        <v>585</v>
      </c>
      <c r="F36" s="309" t="s">
        <v>186</v>
      </c>
      <c r="G36" s="510">
        <v>43474</v>
      </c>
      <c r="H36" s="523">
        <v>43474</v>
      </c>
      <c r="I36" s="523" t="s">
        <v>705</v>
      </c>
      <c r="J36" s="512">
        <v>1</v>
      </c>
      <c r="K36" s="512">
        <v>2</v>
      </c>
      <c r="L36" s="514">
        <f t="shared" si="0"/>
        <v>21</v>
      </c>
      <c r="M36" s="524">
        <f t="shared" si="1"/>
        <v>0.42</v>
      </c>
      <c r="N36" s="514">
        <v>2</v>
      </c>
      <c r="O36" s="515">
        <v>43475</v>
      </c>
      <c r="P36" s="516">
        <v>-5</v>
      </c>
      <c r="Q36" s="517">
        <v>2</v>
      </c>
      <c r="R36" s="517">
        <v>2</v>
      </c>
      <c r="S36" s="518">
        <v>0</v>
      </c>
      <c r="T36" s="516">
        <v>2</v>
      </c>
      <c r="U36" s="517">
        <v>3</v>
      </c>
      <c r="V36" s="517">
        <v>2</v>
      </c>
      <c r="W36" s="517">
        <v>1</v>
      </c>
      <c r="X36" s="517">
        <v>2</v>
      </c>
      <c r="Y36" s="517">
        <v>1</v>
      </c>
      <c r="Z36" s="518">
        <v>-3</v>
      </c>
      <c r="AA36" s="516">
        <v>3</v>
      </c>
      <c r="AB36" s="517">
        <v>1</v>
      </c>
      <c r="AC36" s="517">
        <v>3</v>
      </c>
      <c r="AD36" s="517">
        <v>1</v>
      </c>
      <c r="AE36" s="518">
        <v>0</v>
      </c>
      <c r="AF36" s="516">
        <v>2</v>
      </c>
      <c r="AG36" s="517">
        <v>2</v>
      </c>
      <c r="AH36" s="517">
        <v>2</v>
      </c>
      <c r="AI36" s="517">
        <v>1</v>
      </c>
      <c r="AJ36" s="517">
        <v>0</v>
      </c>
      <c r="AK36" s="517">
        <v>1</v>
      </c>
      <c r="AL36" s="518">
        <v>-2</v>
      </c>
    </row>
    <row r="37" spans="1:38" ht="17.399999999999999" customHeight="1">
      <c r="A37" s="274">
        <v>3226</v>
      </c>
      <c r="B37" s="275" t="s">
        <v>21</v>
      </c>
      <c r="C37" s="275">
        <v>34</v>
      </c>
      <c r="D37" s="276">
        <v>1</v>
      </c>
      <c r="E37" s="260" t="s">
        <v>586</v>
      </c>
      <c r="F37" s="308" t="s">
        <v>353</v>
      </c>
      <c r="G37" s="510">
        <v>43461</v>
      </c>
      <c r="H37" s="523">
        <v>43449</v>
      </c>
      <c r="I37" s="511" t="s">
        <v>705</v>
      </c>
      <c r="J37" s="512">
        <v>1</v>
      </c>
      <c r="K37" s="512">
        <v>2</v>
      </c>
      <c r="L37" s="514">
        <f t="shared" si="0"/>
        <v>19</v>
      </c>
      <c r="M37" s="524">
        <f t="shared" si="1"/>
        <v>0.38</v>
      </c>
      <c r="N37" s="514">
        <v>2</v>
      </c>
      <c r="O37" s="515">
        <v>43461</v>
      </c>
      <c r="P37" s="516">
        <v>-5</v>
      </c>
      <c r="Q37" s="517">
        <v>2</v>
      </c>
      <c r="R37" s="517">
        <v>2</v>
      </c>
      <c r="S37" s="518">
        <v>0</v>
      </c>
      <c r="T37" s="516">
        <v>1</v>
      </c>
      <c r="U37" s="517">
        <v>3</v>
      </c>
      <c r="V37" s="517">
        <v>2</v>
      </c>
      <c r="W37" s="517">
        <v>1</v>
      </c>
      <c r="X37" s="517">
        <v>2</v>
      </c>
      <c r="Y37" s="517">
        <v>0</v>
      </c>
      <c r="Z37" s="518">
        <v>-5</v>
      </c>
      <c r="AA37" s="516">
        <v>3</v>
      </c>
      <c r="AB37" s="517">
        <v>3</v>
      </c>
      <c r="AC37" s="517">
        <v>3</v>
      </c>
      <c r="AD37" s="517">
        <v>5</v>
      </c>
      <c r="AE37" s="518">
        <v>-4</v>
      </c>
      <c r="AF37" s="516">
        <v>0</v>
      </c>
      <c r="AG37" s="517">
        <v>2</v>
      </c>
      <c r="AH37" s="517">
        <v>2</v>
      </c>
      <c r="AI37" s="517">
        <v>2</v>
      </c>
      <c r="AJ37" s="517">
        <v>1</v>
      </c>
      <c r="AK37" s="517">
        <v>2</v>
      </c>
      <c r="AL37" s="518">
        <v>-3</v>
      </c>
    </row>
    <row r="38" spans="1:38" ht="17.399999999999999" customHeight="1">
      <c r="A38" s="274">
        <v>3227</v>
      </c>
      <c r="B38" s="283" t="s">
        <v>21</v>
      </c>
      <c r="C38" s="283">
        <v>35</v>
      </c>
      <c r="D38" s="276">
        <v>2</v>
      </c>
      <c r="E38" s="261" t="s">
        <v>587</v>
      </c>
      <c r="F38" s="309" t="s">
        <v>40</v>
      </c>
      <c r="G38" s="510">
        <v>43461</v>
      </c>
      <c r="H38" s="523">
        <v>43460</v>
      </c>
      <c r="I38" s="511" t="s">
        <v>713</v>
      </c>
      <c r="J38" s="512">
        <v>1</v>
      </c>
      <c r="K38" s="512">
        <v>2</v>
      </c>
      <c r="L38" s="514">
        <f>SUM(P38:AL38)</f>
        <v>25</v>
      </c>
      <c r="M38" s="524">
        <f>L38/$L$2</f>
        <v>0.5</v>
      </c>
      <c r="N38" s="514" t="s">
        <v>35</v>
      </c>
      <c r="O38" s="515">
        <v>43461</v>
      </c>
      <c r="P38" s="516">
        <v>-11</v>
      </c>
      <c r="Q38" s="517">
        <v>0</v>
      </c>
      <c r="R38" s="517">
        <v>2</v>
      </c>
      <c r="S38" s="518">
        <v>0</v>
      </c>
      <c r="T38" s="516">
        <v>1</v>
      </c>
      <c r="U38" s="517">
        <v>3</v>
      </c>
      <c r="V38" s="517">
        <v>2</v>
      </c>
      <c r="W38" s="517">
        <v>1</v>
      </c>
      <c r="X38" s="517">
        <v>2</v>
      </c>
      <c r="Y38" s="517">
        <v>2</v>
      </c>
      <c r="Z38" s="518">
        <v>-1</v>
      </c>
      <c r="AA38" s="516">
        <v>3</v>
      </c>
      <c r="AB38" s="517">
        <v>2</v>
      </c>
      <c r="AC38" s="517">
        <v>3</v>
      </c>
      <c r="AD38" s="517">
        <v>5</v>
      </c>
      <c r="AE38" s="518">
        <v>-1</v>
      </c>
      <c r="AF38" s="516">
        <v>3</v>
      </c>
      <c r="AG38" s="517">
        <v>2</v>
      </c>
      <c r="AH38" s="517">
        <v>2</v>
      </c>
      <c r="AI38" s="517">
        <v>3</v>
      </c>
      <c r="AJ38" s="517">
        <v>1</v>
      </c>
      <c r="AK38" s="517">
        <v>2</v>
      </c>
      <c r="AL38" s="518">
        <v>-1</v>
      </c>
    </row>
    <row r="39" spans="1:38" ht="17.399999999999999" customHeight="1">
      <c r="A39" s="274">
        <v>3228</v>
      </c>
      <c r="B39" s="275" t="s">
        <v>21</v>
      </c>
      <c r="C39" s="275">
        <v>36</v>
      </c>
      <c r="D39" s="276">
        <v>1</v>
      </c>
      <c r="E39" s="260" t="s">
        <v>588</v>
      </c>
      <c r="F39" s="308" t="s">
        <v>683</v>
      </c>
      <c r="G39" s="510">
        <v>43461</v>
      </c>
      <c r="H39" s="523">
        <v>43460</v>
      </c>
      <c r="I39" s="523"/>
      <c r="J39" s="512">
        <v>1</v>
      </c>
      <c r="K39" s="512">
        <v>2</v>
      </c>
      <c r="L39" s="514">
        <f t="shared" si="0"/>
        <v>17</v>
      </c>
      <c r="M39" s="524">
        <f t="shared" si="1"/>
        <v>0.34</v>
      </c>
      <c r="N39" s="514">
        <v>2</v>
      </c>
      <c r="O39" s="515">
        <v>43461</v>
      </c>
      <c r="P39" s="516"/>
      <c r="Q39" s="517">
        <v>2</v>
      </c>
      <c r="R39" s="517">
        <v>2</v>
      </c>
      <c r="S39" s="518">
        <v>4</v>
      </c>
      <c r="T39" s="516">
        <v>0</v>
      </c>
      <c r="U39" s="517">
        <v>3</v>
      </c>
      <c r="V39" s="517">
        <v>2</v>
      </c>
      <c r="W39" s="517">
        <v>1</v>
      </c>
      <c r="X39" s="517">
        <v>2</v>
      </c>
      <c r="Y39" s="517">
        <v>0</v>
      </c>
      <c r="Z39" s="518">
        <v>-5</v>
      </c>
      <c r="AA39" s="516">
        <v>2</v>
      </c>
      <c r="AB39" s="517">
        <v>0</v>
      </c>
      <c r="AC39" s="517">
        <v>0</v>
      </c>
      <c r="AD39" s="517">
        <v>0</v>
      </c>
      <c r="AE39" s="518">
        <v>-3</v>
      </c>
      <c r="AF39" s="516">
        <v>3</v>
      </c>
      <c r="AG39" s="517">
        <v>2</v>
      </c>
      <c r="AH39" s="517">
        <v>0</v>
      </c>
      <c r="AI39" s="517">
        <v>3</v>
      </c>
      <c r="AJ39" s="517">
        <v>1</v>
      </c>
      <c r="AK39" s="517">
        <v>2</v>
      </c>
      <c r="AL39" s="518">
        <v>-4</v>
      </c>
    </row>
    <row r="40" spans="1:38" ht="17.399999999999999" customHeight="1">
      <c r="A40" s="274">
        <v>3229</v>
      </c>
      <c r="B40" s="283" t="s">
        <v>21</v>
      </c>
      <c r="C40" s="283">
        <v>37</v>
      </c>
      <c r="D40" s="276">
        <v>2</v>
      </c>
      <c r="E40" s="261" t="s">
        <v>589</v>
      </c>
      <c r="F40" s="309" t="s">
        <v>679</v>
      </c>
      <c r="G40" s="510">
        <v>43461</v>
      </c>
      <c r="H40" s="523">
        <v>43460</v>
      </c>
      <c r="I40" s="523" t="s">
        <v>715</v>
      </c>
      <c r="J40" s="512">
        <v>1</v>
      </c>
      <c r="K40" s="512">
        <v>2</v>
      </c>
      <c r="L40" s="514">
        <f t="shared" si="0"/>
        <v>28</v>
      </c>
      <c r="M40" s="524">
        <f t="shared" si="1"/>
        <v>0.56000000000000005</v>
      </c>
      <c r="N40" s="514">
        <v>3</v>
      </c>
      <c r="O40" s="515">
        <v>43461</v>
      </c>
      <c r="P40" s="516"/>
      <c r="Q40" s="517">
        <v>2</v>
      </c>
      <c r="R40" s="517">
        <v>2</v>
      </c>
      <c r="S40" s="518">
        <v>5</v>
      </c>
      <c r="T40" s="516">
        <v>1</v>
      </c>
      <c r="U40" s="517">
        <v>3</v>
      </c>
      <c r="V40" s="517">
        <v>2</v>
      </c>
      <c r="W40" s="517">
        <v>1</v>
      </c>
      <c r="X40" s="517">
        <v>2</v>
      </c>
      <c r="Y40" s="517">
        <v>2</v>
      </c>
      <c r="Z40" s="518">
        <v>-2</v>
      </c>
      <c r="AA40" s="516">
        <v>0</v>
      </c>
      <c r="AB40" s="517">
        <v>0</v>
      </c>
      <c r="AC40" s="517">
        <v>0</v>
      </c>
      <c r="AD40" s="517">
        <v>0</v>
      </c>
      <c r="AE40" s="518">
        <v>0</v>
      </c>
      <c r="AF40" s="516">
        <v>4</v>
      </c>
      <c r="AG40" s="517">
        <v>2</v>
      </c>
      <c r="AH40" s="517">
        <v>2</v>
      </c>
      <c r="AI40" s="517">
        <v>1</v>
      </c>
      <c r="AJ40" s="517">
        <v>0</v>
      </c>
      <c r="AK40" s="517">
        <v>1</v>
      </c>
      <c r="AL40" s="518">
        <v>0</v>
      </c>
    </row>
    <row r="41" spans="1:38" ht="17.399999999999999" customHeight="1">
      <c r="A41" s="274">
        <v>3230</v>
      </c>
      <c r="B41" s="275" t="s">
        <v>21</v>
      </c>
      <c r="C41" s="275">
        <v>38</v>
      </c>
      <c r="D41" s="276">
        <v>3</v>
      </c>
      <c r="E41" s="260" t="s">
        <v>417</v>
      </c>
      <c r="F41" s="308" t="s">
        <v>682</v>
      </c>
      <c r="G41" s="510">
        <v>43461</v>
      </c>
      <c r="H41" s="523">
        <v>43450</v>
      </c>
      <c r="I41" s="523"/>
      <c r="J41" s="512">
        <v>1</v>
      </c>
      <c r="K41" s="512">
        <v>2</v>
      </c>
      <c r="L41" s="514">
        <f t="shared" si="0"/>
        <v>45</v>
      </c>
      <c r="M41" s="524">
        <f t="shared" si="1"/>
        <v>0.9</v>
      </c>
      <c r="N41" s="514">
        <v>5</v>
      </c>
      <c r="O41" s="515">
        <v>43461</v>
      </c>
      <c r="P41" s="516"/>
      <c r="Q41" s="517">
        <v>2</v>
      </c>
      <c r="R41" s="517">
        <v>2</v>
      </c>
      <c r="S41" s="518">
        <v>5</v>
      </c>
      <c r="T41" s="516">
        <v>3</v>
      </c>
      <c r="U41" s="517">
        <v>3</v>
      </c>
      <c r="V41" s="517">
        <v>2</v>
      </c>
      <c r="W41" s="517">
        <v>1</v>
      </c>
      <c r="X41" s="517">
        <v>2</v>
      </c>
      <c r="Y41" s="517">
        <v>2</v>
      </c>
      <c r="Z41" s="518">
        <v>-2</v>
      </c>
      <c r="AA41" s="516">
        <v>3</v>
      </c>
      <c r="AB41" s="517">
        <v>3</v>
      </c>
      <c r="AC41" s="517">
        <v>3</v>
      </c>
      <c r="AD41" s="517">
        <v>5</v>
      </c>
      <c r="AE41" s="518">
        <v>0</v>
      </c>
      <c r="AF41" s="516">
        <v>2</v>
      </c>
      <c r="AG41" s="517">
        <v>2</v>
      </c>
      <c r="AH41" s="517">
        <v>2</v>
      </c>
      <c r="AI41" s="517">
        <v>3</v>
      </c>
      <c r="AJ41" s="517">
        <v>1</v>
      </c>
      <c r="AK41" s="517">
        <v>2</v>
      </c>
      <c r="AL41" s="518">
        <v>-1</v>
      </c>
    </row>
    <row r="42" spans="1:38" ht="17.399999999999999" customHeight="1">
      <c r="A42" s="274">
        <v>3231</v>
      </c>
      <c r="B42" s="275" t="s">
        <v>21</v>
      </c>
      <c r="C42" s="275">
        <v>39</v>
      </c>
      <c r="D42" s="276">
        <v>3</v>
      </c>
      <c r="E42" s="260" t="s">
        <v>590</v>
      </c>
      <c r="F42" s="308" t="s">
        <v>686</v>
      </c>
      <c r="G42" s="510">
        <v>43461</v>
      </c>
      <c r="H42" s="523">
        <v>43450</v>
      </c>
      <c r="I42" s="523" t="s">
        <v>719</v>
      </c>
      <c r="J42" s="512">
        <v>1</v>
      </c>
      <c r="K42" s="512">
        <v>2</v>
      </c>
      <c r="L42" s="514">
        <f>SUM(P42:AL42)</f>
        <v>23</v>
      </c>
      <c r="M42" s="524">
        <f>L42/$L$2</f>
        <v>0.46</v>
      </c>
      <c r="N42" s="514" t="s">
        <v>35</v>
      </c>
      <c r="O42" s="515">
        <v>43461</v>
      </c>
      <c r="P42" s="516">
        <v>-6</v>
      </c>
      <c r="Q42" s="517">
        <v>2</v>
      </c>
      <c r="R42" s="517">
        <v>2</v>
      </c>
      <c r="S42" s="518">
        <v>3</v>
      </c>
      <c r="T42" s="516">
        <v>1</v>
      </c>
      <c r="U42" s="517">
        <v>3</v>
      </c>
      <c r="V42" s="517">
        <v>2</v>
      </c>
      <c r="W42" s="517">
        <v>1</v>
      </c>
      <c r="X42" s="517">
        <v>2</v>
      </c>
      <c r="Y42" s="517">
        <v>1</v>
      </c>
      <c r="Z42" s="518">
        <v>-3</v>
      </c>
      <c r="AA42" s="516">
        <v>3</v>
      </c>
      <c r="AB42" s="517">
        <v>0</v>
      </c>
      <c r="AC42" s="517">
        <v>2</v>
      </c>
      <c r="AD42" s="517">
        <v>2</v>
      </c>
      <c r="AE42" s="518">
        <v>-2</v>
      </c>
      <c r="AF42" s="516">
        <v>3</v>
      </c>
      <c r="AG42" s="517">
        <v>2</v>
      </c>
      <c r="AH42" s="517">
        <v>2</v>
      </c>
      <c r="AI42" s="517">
        <v>2</v>
      </c>
      <c r="AJ42" s="517">
        <v>1</v>
      </c>
      <c r="AK42" s="517">
        <v>2</v>
      </c>
      <c r="AL42" s="518">
        <v>-2</v>
      </c>
    </row>
    <row r="43" spans="1:38" ht="17.399999999999999" customHeight="1">
      <c r="A43" s="274">
        <v>3232</v>
      </c>
      <c r="B43" s="275" t="s">
        <v>21</v>
      </c>
      <c r="C43" s="275">
        <v>40</v>
      </c>
      <c r="D43" s="276">
        <v>1</v>
      </c>
      <c r="E43" s="260" t="s">
        <v>591</v>
      </c>
      <c r="F43" s="308" t="s">
        <v>687</v>
      </c>
      <c r="G43" s="510">
        <v>43461</v>
      </c>
      <c r="H43" s="523">
        <v>43445</v>
      </c>
      <c r="I43" s="523" t="s">
        <v>720</v>
      </c>
      <c r="J43" s="512">
        <v>1</v>
      </c>
      <c r="K43" s="512">
        <v>0.25</v>
      </c>
      <c r="L43" s="514">
        <f t="shared" si="0"/>
        <v>2</v>
      </c>
      <c r="M43" s="524">
        <f t="shared" si="1"/>
        <v>0.04</v>
      </c>
      <c r="N43" s="514">
        <v>1</v>
      </c>
      <c r="O43" s="515">
        <v>43461</v>
      </c>
      <c r="P43" s="516"/>
      <c r="Q43" s="517">
        <v>2</v>
      </c>
      <c r="R43" s="517">
        <v>0</v>
      </c>
      <c r="S43" s="518">
        <v>0</v>
      </c>
      <c r="T43" s="516"/>
      <c r="U43" s="517"/>
      <c r="V43" s="517"/>
      <c r="W43" s="517"/>
      <c r="X43" s="517"/>
      <c r="Y43" s="517"/>
      <c r="Z43" s="518"/>
      <c r="AA43" s="516"/>
      <c r="AB43" s="517"/>
      <c r="AC43" s="517"/>
      <c r="AD43" s="517"/>
      <c r="AE43" s="518"/>
      <c r="AF43" s="516"/>
      <c r="AG43" s="517"/>
      <c r="AH43" s="517"/>
      <c r="AI43" s="517"/>
      <c r="AJ43" s="517"/>
      <c r="AK43" s="517"/>
      <c r="AL43" s="518"/>
    </row>
    <row r="44" spans="1:38" ht="17.399999999999999" customHeight="1">
      <c r="A44" s="274">
        <v>3232</v>
      </c>
      <c r="B44" s="275" t="s">
        <v>21</v>
      </c>
      <c r="C44" s="275">
        <v>40</v>
      </c>
      <c r="D44" s="276">
        <v>1</v>
      </c>
      <c r="E44" s="260" t="s">
        <v>591</v>
      </c>
      <c r="F44" s="308" t="s">
        <v>687</v>
      </c>
      <c r="G44" s="539"/>
      <c r="H44" s="540">
        <v>43473</v>
      </c>
      <c r="I44" s="540"/>
      <c r="J44" s="541">
        <v>2</v>
      </c>
      <c r="K44" s="512">
        <v>1.75</v>
      </c>
      <c r="L44" s="514">
        <f t="shared" si="0"/>
        <v>38</v>
      </c>
      <c r="M44" s="524">
        <f t="shared" si="1"/>
        <v>0.76</v>
      </c>
      <c r="N44" s="542">
        <v>4</v>
      </c>
      <c r="O44" s="543">
        <v>43474</v>
      </c>
      <c r="P44" s="544"/>
      <c r="Q44" s="545">
        <v>2</v>
      </c>
      <c r="R44" s="545">
        <v>2</v>
      </c>
      <c r="S44" s="546">
        <v>5</v>
      </c>
      <c r="T44" s="544">
        <v>1</v>
      </c>
      <c r="U44" s="545">
        <v>3</v>
      </c>
      <c r="V44" s="545">
        <v>2</v>
      </c>
      <c r="W44" s="545">
        <v>1</v>
      </c>
      <c r="X44" s="545">
        <v>2</v>
      </c>
      <c r="Y44" s="545">
        <v>2</v>
      </c>
      <c r="Z44" s="546">
        <v>-2</v>
      </c>
      <c r="AA44" s="544">
        <v>3</v>
      </c>
      <c r="AB44" s="545">
        <v>2</v>
      </c>
      <c r="AC44" s="545">
        <v>3</v>
      </c>
      <c r="AD44" s="545">
        <v>4</v>
      </c>
      <c r="AE44" s="546">
        <v>-1</v>
      </c>
      <c r="AF44" s="544">
        <v>2</v>
      </c>
      <c r="AG44" s="545">
        <v>1</v>
      </c>
      <c r="AH44" s="545">
        <v>2</v>
      </c>
      <c r="AI44" s="545">
        <v>2</v>
      </c>
      <c r="AJ44" s="545">
        <v>1</v>
      </c>
      <c r="AK44" s="545">
        <v>2</v>
      </c>
      <c r="AL44" s="546">
        <v>-1</v>
      </c>
    </row>
    <row r="45" spans="1:38" ht="17.399999999999999" customHeight="1" thickBot="1">
      <c r="A45" s="288">
        <v>3233</v>
      </c>
      <c r="B45" s="289" t="s">
        <v>21</v>
      </c>
      <c r="C45" s="289">
        <v>41</v>
      </c>
      <c r="D45" s="290">
        <v>3</v>
      </c>
      <c r="E45" s="262" t="s">
        <v>592</v>
      </c>
      <c r="F45" s="311" t="s">
        <v>593</v>
      </c>
      <c r="G45" s="525">
        <v>43461</v>
      </c>
      <c r="H45" s="526">
        <v>43450</v>
      </c>
      <c r="I45" s="526"/>
      <c r="J45" s="527">
        <v>1</v>
      </c>
      <c r="K45" s="527">
        <v>2</v>
      </c>
      <c r="L45" s="528">
        <f t="shared" si="0"/>
        <v>42</v>
      </c>
      <c r="M45" s="529">
        <f t="shared" si="1"/>
        <v>0.84</v>
      </c>
      <c r="N45" s="528" t="s">
        <v>33</v>
      </c>
      <c r="O45" s="530">
        <v>43461</v>
      </c>
      <c r="P45" s="531"/>
      <c r="Q45" s="532">
        <v>2</v>
      </c>
      <c r="R45" s="532">
        <v>2</v>
      </c>
      <c r="S45" s="533">
        <v>5</v>
      </c>
      <c r="T45" s="531">
        <v>1</v>
      </c>
      <c r="U45" s="532">
        <v>3</v>
      </c>
      <c r="V45" s="532">
        <v>2</v>
      </c>
      <c r="W45" s="532">
        <v>1</v>
      </c>
      <c r="X45" s="532">
        <v>2</v>
      </c>
      <c r="Y45" s="532">
        <v>0</v>
      </c>
      <c r="Z45" s="533">
        <v>-1</v>
      </c>
      <c r="AA45" s="531">
        <v>3</v>
      </c>
      <c r="AB45" s="532">
        <v>2</v>
      </c>
      <c r="AC45" s="532">
        <v>3</v>
      </c>
      <c r="AD45" s="532">
        <v>5</v>
      </c>
      <c r="AE45" s="533">
        <v>-1</v>
      </c>
      <c r="AF45" s="531">
        <v>4</v>
      </c>
      <c r="AG45" s="532">
        <v>2</v>
      </c>
      <c r="AH45" s="532">
        <v>2</v>
      </c>
      <c r="AI45" s="532">
        <v>2</v>
      </c>
      <c r="AJ45" s="532">
        <v>1</v>
      </c>
      <c r="AK45" s="532">
        <v>2</v>
      </c>
      <c r="AL45" s="533">
        <v>0</v>
      </c>
    </row>
    <row r="46" spans="1:38" ht="17.399999999999999" customHeight="1" thickTop="1">
      <c r="A46" s="264">
        <v>3234</v>
      </c>
      <c r="B46" s="265" t="s">
        <v>22</v>
      </c>
      <c r="C46" s="265">
        <v>1</v>
      </c>
      <c r="D46" s="266">
        <v>4</v>
      </c>
      <c r="E46" s="259" t="s">
        <v>420</v>
      </c>
      <c r="F46" s="307" t="s">
        <v>594</v>
      </c>
      <c r="G46" s="501">
        <v>43461</v>
      </c>
      <c r="H46" s="534">
        <v>43449</v>
      </c>
      <c r="I46" s="534"/>
      <c r="J46" s="503">
        <v>1</v>
      </c>
      <c r="K46" s="503">
        <v>2</v>
      </c>
      <c r="L46" s="505">
        <f t="shared" si="0"/>
        <v>39</v>
      </c>
      <c r="M46" s="535">
        <f t="shared" si="1"/>
        <v>0.78</v>
      </c>
      <c r="N46" s="505" t="s">
        <v>34</v>
      </c>
      <c r="O46" s="506">
        <v>43462</v>
      </c>
      <c r="P46" s="507"/>
      <c r="Q46" s="508">
        <v>2</v>
      </c>
      <c r="R46" s="508">
        <v>2</v>
      </c>
      <c r="S46" s="509">
        <v>5</v>
      </c>
      <c r="T46" s="507">
        <v>1</v>
      </c>
      <c r="U46" s="508">
        <v>3</v>
      </c>
      <c r="V46" s="508">
        <v>2</v>
      </c>
      <c r="W46" s="508">
        <v>1</v>
      </c>
      <c r="X46" s="508">
        <v>2</v>
      </c>
      <c r="Y46" s="508">
        <v>2</v>
      </c>
      <c r="Z46" s="509">
        <v>-1</v>
      </c>
      <c r="AA46" s="507">
        <v>2</v>
      </c>
      <c r="AB46" s="508">
        <v>2</v>
      </c>
      <c r="AC46" s="508">
        <v>2</v>
      </c>
      <c r="AD46" s="508">
        <v>4</v>
      </c>
      <c r="AE46" s="509">
        <v>-1</v>
      </c>
      <c r="AF46" s="507">
        <v>3</v>
      </c>
      <c r="AG46" s="508">
        <v>2</v>
      </c>
      <c r="AH46" s="508">
        <v>2</v>
      </c>
      <c r="AI46" s="508">
        <v>2</v>
      </c>
      <c r="AJ46" s="508">
        <v>1</v>
      </c>
      <c r="AK46" s="508">
        <v>2</v>
      </c>
      <c r="AL46" s="509">
        <v>-1</v>
      </c>
    </row>
    <row r="47" spans="1:38" ht="17.399999999999999" customHeight="1">
      <c r="A47" s="274">
        <v>3235</v>
      </c>
      <c r="B47" s="283" t="s">
        <v>22</v>
      </c>
      <c r="C47" s="283">
        <v>2</v>
      </c>
      <c r="D47" s="276">
        <v>5</v>
      </c>
      <c r="E47" s="261" t="s">
        <v>451</v>
      </c>
      <c r="F47" s="309" t="s">
        <v>127</v>
      </c>
      <c r="G47" s="510">
        <v>43461</v>
      </c>
      <c r="H47" s="523">
        <v>43461</v>
      </c>
      <c r="I47" s="523" t="s">
        <v>721</v>
      </c>
      <c r="J47" s="512">
        <v>1</v>
      </c>
      <c r="K47" s="512">
        <v>2</v>
      </c>
      <c r="L47" s="514">
        <f t="shared" ref="L47:L93" si="2">SUM(P47:AL47)</f>
        <v>6</v>
      </c>
      <c r="M47" s="524">
        <f t="shared" si="1"/>
        <v>0.12</v>
      </c>
      <c r="N47" s="514">
        <v>1</v>
      </c>
      <c r="O47" s="515">
        <v>43462</v>
      </c>
      <c r="P47" s="516"/>
      <c r="Q47" s="517">
        <v>1</v>
      </c>
      <c r="R47" s="517">
        <v>2</v>
      </c>
      <c r="S47" s="518">
        <v>0</v>
      </c>
      <c r="T47" s="516">
        <v>0</v>
      </c>
      <c r="U47" s="517">
        <v>3</v>
      </c>
      <c r="V47" s="517">
        <v>2</v>
      </c>
      <c r="W47" s="517">
        <v>0</v>
      </c>
      <c r="X47" s="517">
        <v>2</v>
      </c>
      <c r="Y47" s="517">
        <v>2</v>
      </c>
      <c r="Z47" s="518">
        <v>-8</v>
      </c>
      <c r="AA47" s="516">
        <v>3</v>
      </c>
      <c r="AB47" s="517">
        <v>1</v>
      </c>
      <c r="AC47" s="517">
        <v>0</v>
      </c>
      <c r="AD47" s="517">
        <v>0</v>
      </c>
      <c r="AE47" s="518">
        <v>-8</v>
      </c>
      <c r="AF47" s="516">
        <v>4</v>
      </c>
      <c r="AG47" s="517">
        <v>2</v>
      </c>
      <c r="AH47" s="517">
        <v>0</v>
      </c>
      <c r="AI47" s="517">
        <v>3</v>
      </c>
      <c r="AJ47" s="517">
        <v>1</v>
      </c>
      <c r="AK47" s="517">
        <v>2</v>
      </c>
      <c r="AL47" s="518">
        <v>-6</v>
      </c>
    </row>
    <row r="48" spans="1:38" ht="17.399999999999999" customHeight="1">
      <c r="A48" s="274">
        <v>3236</v>
      </c>
      <c r="B48" s="283" t="s">
        <v>22</v>
      </c>
      <c r="C48" s="283">
        <v>3</v>
      </c>
      <c r="D48" s="276">
        <v>4</v>
      </c>
      <c r="E48" s="261" t="s">
        <v>595</v>
      </c>
      <c r="F48" s="308" t="s">
        <v>19</v>
      </c>
      <c r="G48" s="510">
        <v>43461</v>
      </c>
      <c r="H48" s="523">
        <v>43450</v>
      </c>
      <c r="I48" s="523" t="s">
        <v>723</v>
      </c>
      <c r="J48" s="512">
        <v>1</v>
      </c>
      <c r="K48" s="512">
        <v>2</v>
      </c>
      <c r="L48" s="514">
        <f t="shared" si="2"/>
        <v>17</v>
      </c>
      <c r="M48" s="524">
        <f t="shared" ref="M48:M94" si="3">L48/$L$2</f>
        <v>0.34</v>
      </c>
      <c r="N48" s="514">
        <v>1</v>
      </c>
      <c r="O48" s="515">
        <v>43462</v>
      </c>
      <c r="P48" s="516"/>
      <c r="Q48" s="517">
        <v>2</v>
      </c>
      <c r="R48" s="517">
        <v>2</v>
      </c>
      <c r="S48" s="518">
        <v>5</v>
      </c>
      <c r="T48" s="516">
        <v>1</v>
      </c>
      <c r="U48" s="517">
        <v>2</v>
      </c>
      <c r="V48" s="517">
        <v>2</v>
      </c>
      <c r="W48" s="517">
        <v>1</v>
      </c>
      <c r="X48" s="517">
        <v>1</v>
      </c>
      <c r="Y48" s="517">
        <v>0</v>
      </c>
      <c r="Z48" s="518">
        <v>-7</v>
      </c>
      <c r="AA48" s="516">
        <v>3</v>
      </c>
      <c r="AB48" s="517">
        <v>0</v>
      </c>
      <c r="AC48" s="517">
        <v>0</v>
      </c>
      <c r="AD48" s="517">
        <v>0</v>
      </c>
      <c r="AE48" s="518">
        <v>-4</v>
      </c>
      <c r="AF48" s="516">
        <v>3</v>
      </c>
      <c r="AG48" s="517">
        <v>2</v>
      </c>
      <c r="AH48" s="517">
        <v>2</v>
      </c>
      <c r="AI48" s="517">
        <v>3</v>
      </c>
      <c r="AJ48" s="517">
        <v>1</v>
      </c>
      <c r="AK48" s="517">
        <v>1</v>
      </c>
      <c r="AL48" s="518">
        <v>-3</v>
      </c>
    </row>
    <row r="49" spans="1:38" ht="17.399999999999999" customHeight="1">
      <c r="A49" s="274">
        <v>3237</v>
      </c>
      <c r="B49" s="283" t="s">
        <v>22</v>
      </c>
      <c r="C49" s="283">
        <v>4</v>
      </c>
      <c r="D49" s="276">
        <v>5</v>
      </c>
      <c r="E49" s="261" t="s">
        <v>596</v>
      </c>
      <c r="F49" s="309" t="s">
        <v>688</v>
      </c>
      <c r="G49" s="510">
        <v>43461</v>
      </c>
      <c r="H49" s="523">
        <v>43460</v>
      </c>
      <c r="I49" s="523" t="s">
        <v>722</v>
      </c>
      <c r="J49" s="512">
        <v>1</v>
      </c>
      <c r="K49" s="512">
        <v>2</v>
      </c>
      <c r="L49" s="514">
        <f>SUM(P49:AL49)</f>
        <v>4</v>
      </c>
      <c r="M49" s="524">
        <f>L49/$L$2</f>
        <v>0.08</v>
      </c>
      <c r="N49" s="514">
        <v>1</v>
      </c>
      <c r="O49" s="515">
        <v>43462</v>
      </c>
      <c r="P49" s="516"/>
      <c r="Q49" s="517">
        <v>2</v>
      </c>
      <c r="R49" s="517">
        <v>2</v>
      </c>
      <c r="S49" s="518">
        <v>5</v>
      </c>
      <c r="T49" s="516">
        <v>0</v>
      </c>
      <c r="U49" s="517">
        <v>3</v>
      </c>
      <c r="V49" s="517">
        <v>2</v>
      </c>
      <c r="W49" s="517">
        <v>1</v>
      </c>
      <c r="X49" s="517">
        <v>2</v>
      </c>
      <c r="Y49" s="517">
        <v>0</v>
      </c>
      <c r="Z49" s="518">
        <v>-8</v>
      </c>
      <c r="AA49" s="516">
        <v>2</v>
      </c>
      <c r="AB49" s="517">
        <v>2</v>
      </c>
      <c r="AC49" s="517">
        <v>0</v>
      </c>
      <c r="AD49" s="517">
        <v>1</v>
      </c>
      <c r="AE49" s="518">
        <v>-8</v>
      </c>
      <c r="AF49" s="516">
        <v>2</v>
      </c>
      <c r="AG49" s="517">
        <v>2</v>
      </c>
      <c r="AH49" s="517">
        <v>2</v>
      </c>
      <c r="AI49" s="517">
        <v>3</v>
      </c>
      <c r="AJ49" s="517">
        <v>1</v>
      </c>
      <c r="AK49" s="517">
        <v>0</v>
      </c>
      <c r="AL49" s="518">
        <v>-12</v>
      </c>
    </row>
    <row r="50" spans="1:38" ht="17.399999999999999" customHeight="1">
      <c r="A50" s="274">
        <v>3238</v>
      </c>
      <c r="B50" s="283" t="s">
        <v>22</v>
      </c>
      <c r="C50" s="283">
        <v>5</v>
      </c>
      <c r="D50" s="276">
        <v>5</v>
      </c>
      <c r="E50" s="287" t="s">
        <v>44</v>
      </c>
      <c r="F50" s="310" t="s">
        <v>0</v>
      </c>
      <c r="G50" s="510">
        <v>43461</v>
      </c>
      <c r="H50" s="523">
        <v>43450</v>
      </c>
      <c r="I50" s="523" t="s">
        <v>724</v>
      </c>
      <c r="J50" s="512">
        <v>1</v>
      </c>
      <c r="K50" s="512">
        <v>2</v>
      </c>
      <c r="L50" s="514">
        <f t="shared" si="2"/>
        <v>1</v>
      </c>
      <c r="M50" s="524">
        <f t="shared" si="3"/>
        <v>0.02</v>
      </c>
      <c r="N50" s="514">
        <v>1</v>
      </c>
      <c r="O50" s="515">
        <v>43462</v>
      </c>
      <c r="P50" s="516"/>
      <c r="Q50" s="517">
        <v>2</v>
      </c>
      <c r="R50" s="517">
        <v>2</v>
      </c>
      <c r="S50" s="518">
        <v>0</v>
      </c>
      <c r="T50" s="516">
        <v>0</v>
      </c>
      <c r="U50" s="517">
        <v>3</v>
      </c>
      <c r="V50" s="517">
        <v>1</v>
      </c>
      <c r="W50" s="517">
        <v>0</v>
      </c>
      <c r="X50" s="517">
        <v>1</v>
      </c>
      <c r="Y50" s="517">
        <v>1</v>
      </c>
      <c r="Z50" s="518">
        <v>-3</v>
      </c>
      <c r="AA50" s="516">
        <v>3</v>
      </c>
      <c r="AB50" s="517">
        <v>2</v>
      </c>
      <c r="AC50" s="517">
        <v>0</v>
      </c>
      <c r="AD50" s="517">
        <v>0</v>
      </c>
      <c r="AE50" s="518">
        <v>-6</v>
      </c>
      <c r="AF50" s="516">
        <v>0</v>
      </c>
      <c r="AG50" s="517">
        <v>0</v>
      </c>
      <c r="AH50" s="517">
        <v>0</v>
      </c>
      <c r="AI50" s="517">
        <v>0</v>
      </c>
      <c r="AJ50" s="517">
        <v>0</v>
      </c>
      <c r="AK50" s="517">
        <v>0</v>
      </c>
      <c r="AL50" s="518">
        <v>-5</v>
      </c>
    </row>
    <row r="51" spans="1:38" ht="17.399999999999999" customHeight="1">
      <c r="A51" s="274">
        <v>3239</v>
      </c>
      <c r="B51" s="283" t="s">
        <v>22</v>
      </c>
      <c r="C51" s="283">
        <v>6</v>
      </c>
      <c r="D51" s="276">
        <v>5</v>
      </c>
      <c r="E51" s="261" t="s">
        <v>45</v>
      </c>
      <c r="F51" s="309" t="s">
        <v>385</v>
      </c>
      <c r="G51" s="510">
        <v>43467</v>
      </c>
      <c r="H51" s="523">
        <v>43466</v>
      </c>
      <c r="I51" s="523" t="s">
        <v>705</v>
      </c>
      <c r="J51" s="512">
        <v>1</v>
      </c>
      <c r="K51" s="512">
        <v>2</v>
      </c>
      <c r="L51" s="514">
        <f>SUM(P51:AL51)</f>
        <v>27</v>
      </c>
      <c r="M51" s="524">
        <f>L51/$L$2</f>
        <v>0.54</v>
      </c>
      <c r="N51" s="514" t="s">
        <v>31</v>
      </c>
      <c r="O51" s="515">
        <v>43468</v>
      </c>
      <c r="P51" s="516">
        <v>-5</v>
      </c>
      <c r="Q51" s="517">
        <v>2</v>
      </c>
      <c r="R51" s="517">
        <v>2</v>
      </c>
      <c r="S51" s="518">
        <v>0</v>
      </c>
      <c r="T51" s="516">
        <v>1</v>
      </c>
      <c r="U51" s="517">
        <v>2</v>
      </c>
      <c r="V51" s="517">
        <v>2</v>
      </c>
      <c r="W51" s="517">
        <v>1</v>
      </c>
      <c r="X51" s="517">
        <v>1</v>
      </c>
      <c r="Y51" s="517">
        <v>2</v>
      </c>
      <c r="Z51" s="518">
        <v>-1</v>
      </c>
      <c r="AA51" s="516">
        <v>3</v>
      </c>
      <c r="AB51" s="517">
        <v>3</v>
      </c>
      <c r="AC51" s="517">
        <v>2</v>
      </c>
      <c r="AD51" s="517">
        <v>4</v>
      </c>
      <c r="AE51" s="518">
        <v>0</v>
      </c>
      <c r="AF51" s="516">
        <v>2</v>
      </c>
      <c r="AG51" s="517">
        <v>2</v>
      </c>
      <c r="AH51" s="517">
        <v>2</v>
      </c>
      <c r="AI51" s="517">
        <v>3</v>
      </c>
      <c r="AJ51" s="517">
        <v>1</v>
      </c>
      <c r="AK51" s="517">
        <v>2</v>
      </c>
      <c r="AL51" s="518">
        <v>-4</v>
      </c>
    </row>
    <row r="52" spans="1:38" ht="17.399999999999999" customHeight="1">
      <c r="A52" s="274">
        <v>3240</v>
      </c>
      <c r="B52" s="283" t="s">
        <v>22</v>
      </c>
      <c r="C52" s="283">
        <v>7</v>
      </c>
      <c r="D52" s="276">
        <v>6</v>
      </c>
      <c r="E52" s="261" t="s">
        <v>155</v>
      </c>
      <c r="F52" s="309" t="s">
        <v>19</v>
      </c>
      <c r="G52" s="510">
        <v>43461</v>
      </c>
      <c r="H52" s="523"/>
      <c r="I52" s="523" t="s">
        <v>208</v>
      </c>
      <c r="J52" s="512">
        <v>1</v>
      </c>
      <c r="K52" s="512">
        <v>2</v>
      </c>
      <c r="L52" s="514">
        <f t="shared" si="2"/>
        <v>0</v>
      </c>
      <c r="M52" s="524">
        <f t="shared" si="3"/>
        <v>0</v>
      </c>
      <c r="N52" s="514">
        <v>1</v>
      </c>
      <c r="O52" s="515">
        <v>43462</v>
      </c>
      <c r="P52" s="516"/>
      <c r="Q52" s="517"/>
      <c r="R52" s="517"/>
      <c r="S52" s="518"/>
      <c r="T52" s="516"/>
      <c r="U52" s="517"/>
      <c r="V52" s="517"/>
      <c r="W52" s="517"/>
      <c r="X52" s="517"/>
      <c r="Y52" s="517"/>
      <c r="Z52" s="518"/>
      <c r="AA52" s="516"/>
      <c r="AB52" s="517"/>
      <c r="AC52" s="517"/>
      <c r="AD52" s="517"/>
      <c r="AE52" s="518"/>
      <c r="AF52" s="516"/>
      <c r="AG52" s="517"/>
      <c r="AH52" s="517"/>
      <c r="AI52" s="517"/>
      <c r="AJ52" s="517"/>
      <c r="AK52" s="517"/>
      <c r="AL52" s="518"/>
    </row>
    <row r="53" spans="1:38" ht="17.399999999999999" customHeight="1">
      <c r="A53" s="274">
        <v>3241</v>
      </c>
      <c r="B53" s="283" t="s">
        <v>22</v>
      </c>
      <c r="C53" s="283">
        <v>8</v>
      </c>
      <c r="D53" s="276">
        <v>4</v>
      </c>
      <c r="E53" s="261" t="s">
        <v>426</v>
      </c>
      <c r="F53" s="309" t="s">
        <v>11</v>
      </c>
      <c r="G53" s="510">
        <v>43109</v>
      </c>
      <c r="H53" s="523">
        <v>43474</v>
      </c>
      <c r="I53" s="523" t="s">
        <v>747</v>
      </c>
      <c r="J53" s="512">
        <v>1</v>
      </c>
      <c r="K53" s="512">
        <v>2</v>
      </c>
      <c r="L53" s="514">
        <f t="shared" si="2"/>
        <v>12</v>
      </c>
      <c r="M53" s="524">
        <f t="shared" si="3"/>
        <v>0.24</v>
      </c>
      <c r="N53" s="514">
        <v>1</v>
      </c>
      <c r="O53" s="515">
        <v>43475</v>
      </c>
      <c r="P53" s="516"/>
      <c r="Q53" s="517">
        <v>2</v>
      </c>
      <c r="R53" s="517">
        <v>2</v>
      </c>
      <c r="S53" s="518">
        <v>5</v>
      </c>
      <c r="T53" s="516">
        <v>2</v>
      </c>
      <c r="U53" s="517">
        <v>0</v>
      </c>
      <c r="V53" s="517">
        <v>2</v>
      </c>
      <c r="W53" s="517">
        <v>1</v>
      </c>
      <c r="X53" s="517">
        <v>0</v>
      </c>
      <c r="Y53" s="517">
        <v>0</v>
      </c>
      <c r="Z53" s="518">
        <v>-7</v>
      </c>
      <c r="AA53" s="516">
        <v>2</v>
      </c>
      <c r="AB53" s="517">
        <v>1</v>
      </c>
      <c r="AC53" s="517">
        <v>3</v>
      </c>
      <c r="AD53" s="517">
        <v>1</v>
      </c>
      <c r="AE53" s="518">
        <v>-2</v>
      </c>
      <c r="AF53" s="516">
        <v>2</v>
      </c>
      <c r="AG53" s="517">
        <v>2</v>
      </c>
      <c r="AH53" s="517">
        <v>0</v>
      </c>
      <c r="AI53" s="517">
        <v>0</v>
      </c>
      <c r="AJ53" s="517">
        <v>0</v>
      </c>
      <c r="AK53" s="517">
        <v>0</v>
      </c>
      <c r="AL53" s="518">
        <v>-4</v>
      </c>
    </row>
    <row r="54" spans="1:38" ht="17.399999999999999" customHeight="1">
      <c r="A54" s="274">
        <v>3242</v>
      </c>
      <c r="B54" s="283" t="s">
        <v>22</v>
      </c>
      <c r="C54" s="283">
        <v>9</v>
      </c>
      <c r="D54" s="276">
        <v>6</v>
      </c>
      <c r="E54" s="261" t="s">
        <v>597</v>
      </c>
      <c r="F54" s="309" t="s">
        <v>11</v>
      </c>
      <c r="G54" s="510">
        <v>43461</v>
      </c>
      <c r="H54" s="523"/>
      <c r="I54" s="523" t="s">
        <v>208</v>
      </c>
      <c r="J54" s="512">
        <v>1</v>
      </c>
      <c r="K54" s="512">
        <v>2</v>
      </c>
      <c r="L54" s="514">
        <f t="shared" si="2"/>
        <v>0</v>
      </c>
      <c r="M54" s="524">
        <f t="shared" si="3"/>
        <v>0</v>
      </c>
      <c r="N54" s="514">
        <v>1</v>
      </c>
      <c r="O54" s="515">
        <v>43462</v>
      </c>
      <c r="P54" s="516"/>
      <c r="Q54" s="517"/>
      <c r="R54" s="517"/>
      <c r="S54" s="518"/>
      <c r="T54" s="516"/>
      <c r="U54" s="517"/>
      <c r="V54" s="517"/>
      <c r="W54" s="517"/>
      <c r="X54" s="517"/>
      <c r="Y54" s="517"/>
      <c r="Z54" s="518"/>
      <c r="AA54" s="516"/>
      <c r="AB54" s="517"/>
      <c r="AC54" s="517"/>
      <c r="AD54" s="517"/>
      <c r="AE54" s="518"/>
      <c r="AF54" s="516"/>
      <c r="AG54" s="517"/>
      <c r="AH54" s="517"/>
      <c r="AI54" s="517"/>
      <c r="AJ54" s="517"/>
      <c r="AK54" s="517"/>
      <c r="AL54" s="518"/>
    </row>
    <row r="55" spans="1:38" ht="17.399999999999999" customHeight="1">
      <c r="A55" s="274">
        <v>3243</v>
      </c>
      <c r="B55" s="283" t="s">
        <v>22</v>
      </c>
      <c r="C55" s="283">
        <v>10</v>
      </c>
      <c r="D55" s="276">
        <v>6</v>
      </c>
      <c r="E55" s="261" t="s">
        <v>598</v>
      </c>
      <c r="F55" s="309" t="s">
        <v>599</v>
      </c>
      <c r="G55" s="510">
        <v>43461</v>
      </c>
      <c r="H55" s="523">
        <v>43449</v>
      </c>
      <c r="I55" s="523"/>
      <c r="J55" s="512">
        <v>1</v>
      </c>
      <c r="K55" s="512">
        <v>2</v>
      </c>
      <c r="L55" s="514">
        <f t="shared" si="2"/>
        <v>35</v>
      </c>
      <c r="M55" s="524">
        <f t="shared" si="3"/>
        <v>0.7</v>
      </c>
      <c r="N55" s="514">
        <v>4</v>
      </c>
      <c r="O55" s="515">
        <v>43462</v>
      </c>
      <c r="P55" s="516"/>
      <c r="Q55" s="517">
        <v>2</v>
      </c>
      <c r="R55" s="517">
        <v>2</v>
      </c>
      <c r="S55" s="518">
        <v>5</v>
      </c>
      <c r="T55" s="516">
        <v>1</v>
      </c>
      <c r="U55" s="517">
        <v>0</v>
      </c>
      <c r="V55" s="517">
        <v>2</v>
      </c>
      <c r="W55" s="517">
        <v>0</v>
      </c>
      <c r="X55" s="517">
        <v>1</v>
      </c>
      <c r="Y55" s="517">
        <v>2</v>
      </c>
      <c r="Z55" s="518">
        <v>0</v>
      </c>
      <c r="AA55" s="516">
        <v>3</v>
      </c>
      <c r="AB55" s="517">
        <v>3</v>
      </c>
      <c r="AC55" s="517">
        <v>2</v>
      </c>
      <c r="AD55" s="517">
        <v>4</v>
      </c>
      <c r="AE55" s="518">
        <v>-2</v>
      </c>
      <c r="AF55" s="516">
        <v>3</v>
      </c>
      <c r="AG55" s="517">
        <v>2</v>
      </c>
      <c r="AH55" s="517">
        <v>2</v>
      </c>
      <c r="AI55" s="517">
        <v>2</v>
      </c>
      <c r="AJ55" s="517">
        <v>1</v>
      </c>
      <c r="AK55" s="517">
        <v>2</v>
      </c>
      <c r="AL55" s="518">
        <v>-2</v>
      </c>
    </row>
    <row r="56" spans="1:38" ht="17.399999999999999" customHeight="1">
      <c r="A56" s="274">
        <v>3244</v>
      </c>
      <c r="B56" s="283" t="s">
        <v>22</v>
      </c>
      <c r="C56" s="283">
        <v>11</v>
      </c>
      <c r="D56" s="276">
        <v>6</v>
      </c>
      <c r="E56" s="261" t="s">
        <v>431</v>
      </c>
      <c r="F56" s="309" t="s">
        <v>680</v>
      </c>
      <c r="G56" s="510">
        <v>43461</v>
      </c>
      <c r="H56" s="523">
        <v>43450</v>
      </c>
      <c r="I56" s="523" t="s">
        <v>705</v>
      </c>
      <c r="J56" s="512">
        <v>1</v>
      </c>
      <c r="K56" s="512">
        <v>2</v>
      </c>
      <c r="L56" s="514">
        <f>SUM(P56:AL56)</f>
        <v>32</v>
      </c>
      <c r="M56" s="524">
        <f>L56/$L$2</f>
        <v>0.64</v>
      </c>
      <c r="N56" s="514" t="s">
        <v>32</v>
      </c>
      <c r="O56" s="515">
        <v>43462</v>
      </c>
      <c r="P56" s="516">
        <v>-5</v>
      </c>
      <c r="Q56" s="517">
        <v>2</v>
      </c>
      <c r="R56" s="517">
        <v>2</v>
      </c>
      <c r="S56" s="518">
        <v>0</v>
      </c>
      <c r="T56" s="516">
        <v>1</v>
      </c>
      <c r="U56" s="517">
        <v>1</v>
      </c>
      <c r="V56" s="517">
        <v>2</v>
      </c>
      <c r="W56" s="517">
        <v>1</v>
      </c>
      <c r="X56" s="517">
        <v>2</v>
      </c>
      <c r="Y56" s="517">
        <v>2</v>
      </c>
      <c r="Z56" s="518">
        <v>-1</v>
      </c>
      <c r="AA56" s="516">
        <v>3</v>
      </c>
      <c r="AB56" s="517">
        <v>3</v>
      </c>
      <c r="AC56" s="517">
        <v>2</v>
      </c>
      <c r="AD56" s="517">
        <v>5</v>
      </c>
      <c r="AE56" s="518">
        <v>-1</v>
      </c>
      <c r="AF56" s="516">
        <v>4</v>
      </c>
      <c r="AG56" s="517">
        <v>2</v>
      </c>
      <c r="AH56" s="517">
        <v>2</v>
      </c>
      <c r="AI56" s="517">
        <v>2</v>
      </c>
      <c r="AJ56" s="517">
        <v>1</v>
      </c>
      <c r="AK56" s="517">
        <v>2</v>
      </c>
      <c r="AL56" s="518">
        <v>0</v>
      </c>
    </row>
    <row r="57" spans="1:38" ht="17.399999999999999" customHeight="1">
      <c r="A57" s="274">
        <v>3246</v>
      </c>
      <c r="B57" s="283" t="s">
        <v>22</v>
      </c>
      <c r="C57" s="283">
        <v>12</v>
      </c>
      <c r="D57" s="276">
        <v>5</v>
      </c>
      <c r="E57" s="261" t="s">
        <v>600</v>
      </c>
      <c r="F57" s="309" t="s">
        <v>66</v>
      </c>
      <c r="G57" s="510">
        <v>43109</v>
      </c>
      <c r="H57" s="523">
        <v>43474</v>
      </c>
      <c r="I57" s="523" t="s">
        <v>759</v>
      </c>
      <c r="J57" s="512">
        <v>1</v>
      </c>
      <c r="K57" s="512">
        <v>2</v>
      </c>
      <c r="L57" s="514">
        <f>SUM(P57:AL57)</f>
        <v>32</v>
      </c>
      <c r="M57" s="524">
        <f>L57/$L$2</f>
        <v>0.64</v>
      </c>
      <c r="N57" s="514" t="s">
        <v>32</v>
      </c>
      <c r="O57" s="515">
        <v>43475</v>
      </c>
      <c r="P57" s="516">
        <v>-5</v>
      </c>
      <c r="Q57" s="517">
        <v>2</v>
      </c>
      <c r="R57" s="517">
        <v>0</v>
      </c>
      <c r="S57" s="518">
        <v>5</v>
      </c>
      <c r="T57" s="516">
        <v>1</v>
      </c>
      <c r="U57" s="517">
        <v>2</v>
      </c>
      <c r="V57" s="517">
        <v>2</v>
      </c>
      <c r="W57" s="517">
        <v>1</v>
      </c>
      <c r="X57" s="517">
        <v>1</v>
      </c>
      <c r="Y57" s="517">
        <v>2</v>
      </c>
      <c r="Z57" s="518">
        <v>0</v>
      </c>
      <c r="AA57" s="516">
        <v>3</v>
      </c>
      <c r="AB57" s="517">
        <v>2</v>
      </c>
      <c r="AC57" s="517">
        <v>3</v>
      </c>
      <c r="AD57" s="517">
        <v>3</v>
      </c>
      <c r="AE57" s="518">
        <v>-2</v>
      </c>
      <c r="AF57" s="516">
        <v>4</v>
      </c>
      <c r="AG57" s="517">
        <v>2</v>
      </c>
      <c r="AH57" s="517">
        <v>2</v>
      </c>
      <c r="AI57" s="517">
        <v>2</v>
      </c>
      <c r="AJ57" s="517">
        <v>1</v>
      </c>
      <c r="AK57" s="517">
        <v>2</v>
      </c>
      <c r="AL57" s="518">
        <v>-1</v>
      </c>
    </row>
    <row r="58" spans="1:38" ht="17.399999999999999" customHeight="1">
      <c r="A58" s="274">
        <v>3247</v>
      </c>
      <c r="B58" s="283" t="s">
        <v>22</v>
      </c>
      <c r="C58" s="283">
        <v>13</v>
      </c>
      <c r="D58" s="276">
        <v>6</v>
      </c>
      <c r="E58" s="261" t="s">
        <v>601</v>
      </c>
      <c r="F58" s="309" t="s">
        <v>68</v>
      </c>
      <c r="G58" s="510">
        <v>43461</v>
      </c>
      <c r="H58" s="523">
        <v>43449</v>
      </c>
      <c r="I58" s="523"/>
      <c r="J58" s="512">
        <v>1</v>
      </c>
      <c r="K58" s="512">
        <v>2</v>
      </c>
      <c r="L58" s="514">
        <f t="shared" si="2"/>
        <v>39</v>
      </c>
      <c r="M58" s="524">
        <f t="shared" si="3"/>
        <v>0.78</v>
      </c>
      <c r="N58" s="514" t="s">
        <v>34</v>
      </c>
      <c r="O58" s="515">
        <v>43462</v>
      </c>
      <c r="P58" s="516"/>
      <c r="Q58" s="517">
        <v>2</v>
      </c>
      <c r="R58" s="517">
        <v>2</v>
      </c>
      <c r="S58" s="518">
        <v>5</v>
      </c>
      <c r="T58" s="519">
        <v>1</v>
      </c>
      <c r="U58" s="520">
        <v>3</v>
      </c>
      <c r="V58" s="520">
        <v>2</v>
      </c>
      <c r="W58" s="520">
        <v>1</v>
      </c>
      <c r="X58" s="520">
        <v>2</v>
      </c>
      <c r="Y58" s="520">
        <v>2</v>
      </c>
      <c r="Z58" s="521">
        <v>-2</v>
      </c>
      <c r="AA58" s="519">
        <v>3</v>
      </c>
      <c r="AB58" s="520">
        <v>2</v>
      </c>
      <c r="AC58" s="520">
        <v>2</v>
      </c>
      <c r="AD58" s="520">
        <v>4</v>
      </c>
      <c r="AE58" s="521">
        <v>-2</v>
      </c>
      <c r="AF58" s="519">
        <v>4</v>
      </c>
      <c r="AG58" s="520">
        <v>2</v>
      </c>
      <c r="AH58" s="520">
        <v>2</v>
      </c>
      <c r="AI58" s="520">
        <v>2</v>
      </c>
      <c r="AJ58" s="520">
        <v>1</v>
      </c>
      <c r="AK58" s="520">
        <v>2</v>
      </c>
      <c r="AL58" s="521">
        <v>-1</v>
      </c>
    </row>
    <row r="59" spans="1:38" ht="17.399999999999999" customHeight="1">
      <c r="A59" s="274">
        <v>3248</v>
      </c>
      <c r="B59" s="283" t="s">
        <v>22</v>
      </c>
      <c r="C59" s="283">
        <v>14</v>
      </c>
      <c r="D59" s="276">
        <v>6</v>
      </c>
      <c r="E59" s="261" t="s">
        <v>602</v>
      </c>
      <c r="F59" s="309" t="s">
        <v>0</v>
      </c>
      <c r="G59" s="510">
        <v>43467</v>
      </c>
      <c r="H59" s="523">
        <v>43466</v>
      </c>
      <c r="I59" s="523"/>
      <c r="J59" s="512">
        <v>1</v>
      </c>
      <c r="K59" s="512">
        <v>2</v>
      </c>
      <c r="L59" s="514">
        <f t="shared" si="2"/>
        <v>31</v>
      </c>
      <c r="M59" s="524">
        <f t="shared" si="3"/>
        <v>0.62</v>
      </c>
      <c r="N59" s="514" t="s">
        <v>32</v>
      </c>
      <c r="O59" s="515">
        <v>43468</v>
      </c>
      <c r="P59" s="516"/>
      <c r="Q59" s="517">
        <v>2</v>
      </c>
      <c r="R59" s="517">
        <v>2</v>
      </c>
      <c r="S59" s="518">
        <v>5</v>
      </c>
      <c r="T59" s="516">
        <v>1</v>
      </c>
      <c r="U59" s="517">
        <v>2</v>
      </c>
      <c r="V59" s="517">
        <v>2</v>
      </c>
      <c r="W59" s="517">
        <v>1</v>
      </c>
      <c r="X59" s="517">
        <v>2</v>
      </c>
      <c r="Y59" s="517">
        <v>1</v>
      </c>
      <c r="Z59" s="518">
        <v>-3</v>
      </c>
      <c r="AA59" s="516">
        <v>3</v>
      </c>
      <c r="AB59" s="517">
        <v>0</v>
      </c>
      <c r="AC59" s="517">
        <v>1</v>
      </c>
      <c r="AD59" s="517">
        <v>1</v>
      </c>
      <c r="AE59" s="518">
        <v>0</v>
      </c>
      <c r="AF59" s="516">
        <v>4</v>
      </c>
      <c r="AG59" s="517">
        <v>2</v>
      </c>
      <c r="AH59" s="517">
        <v>2</v>
      </c>
      <c r="AI59" s="517">
        <v>1</v>
      </c>
      <c r="AJ59" s="517">
        <v>1</v>
      </c>
      <c r="AK59" s="517">
        <v>2</v>
      </c>
      <c r="AL59" s="518">
        <v>-1</v>
      </c>
    </row>
    <row r="60" spans="1:38" ht="17.399999999999999" customHeight="1">
      <c r="A60" s="274">
        <v>3250</v>
      </c>
      <c r="B60" s="283" t="s">
        <v>22</v>
      </c>
      <c r="C60" s="283">
        <v>15</v>
      </c>
      <c r="D60" s="276">
        <v>5</v>
      </c>
      <c r="E60" s="261" t="s">
        <v>603</v>
      </c>
      <c r="F60" s="309" t="s">
        <v>14</v>
      </c>
      <c r="G60" s="510">
        <v>43461</v>
      </c>
      <c r="H60" s="523">
        <v>43450</v>
      </c>
      <c r="I60" s="523"/>
      <c r="J60" s="512">
        <v>1</v>
      </c>
      <c r="K60" s="512">
        <v>2</v>
      </c>
      <c r="L60" s="514">
        <f t="shared" si="2"/>
        <v>36</v>
      </c>
      <c r="M60" s="524">
        <f t="shared" si="3"/>
        <v>0.72</v>
      </c>
      <c r="N60" s="514">
        <v>4</v>
      </c>
      <c r="O60" s="515">
        <v>43462</v>
      </c>
      <c r="P60" s="516"/>
      <c r="Q60" s="517">
        <v>2</v>
      </c>
      <c r="R60" s="517">
        <v>2</v>
      </c>
      <c r="S60" s="518">
        <v>5</v>
      </c>
      <c r="T60" s="516">
        <v>1</v>
      </c>
      <c r="U60" s="517">
        <v>2</v>
      </c>
      <c r="V60" s="517">
        <v>2</v>
      </c>
      <c r="W60" s="517">
        <v>1</v>
      </c>
      <c r="X60" s="517">
        <v>1</v>
      </c>
      <c r="Y60" s="517">
        <v>2</v>
      </c>
      <c r="Z60" s="518">
        <v>-1</v>
      </c>
      <c r="AA60" s="516">
        <v>3</v>
      </c>
      <c r="AB60" s="517">
        <v>0</v>
      </c>
      <c r="AC60" s="517">
        <v>3</v>
      </c>
      <c r="AD60" s="517">
        <v>2</v>
      </c>
      <c r="AE60" s="518">
        <v>0</v>
      </c>
      <c r="AF60" s="516">
        <v>3</v>
      </c>
      <c r="AG60" s="517">
        <v>2</v>
      </c>
      <c r="AH60" s="517">
        <v>2</v>
      </c>
      <c r="AI60" s="517">
        <v>3</v>
      </c>
      <c r="AJ60" s="517">
        <v>1</v>
      </c>
      <c r="AK60" s="517">
        <v>2</v>
      </c>
      <c r="AL60" s="518">
        <v>-2</v>
      </c>
    </row>
    <row r="61" spans="1:38" ht="17.399999999999999" customHeight="1">
      <c r="A61" s="274">
        <v>3251</v>
      </c>
      <c r="B61" s="283" t="s">
        <v>22</v>
      </c>
      <c r="C61" s="283">
        <v>16</v>
      </c>
      <c r="D61" s="276">
        <v>5</v>
      </c>
      <c r="E61" s="261" t="s">
        <v>604</v>
      </c>
      <c r="F61" s="309" t="s">
        <v>177</v>
      </c>
      <c r="G61" s="510">
        <v>43461</v>
      </c>
      <c r="H61" s="523">
        <v>43450</v>
      </c>
      <c r="I61" s="523"/>
      <c r="J61" s="512">
        <v>1</v>
      </c>
      <c r="K61" s="512">
        <v>2</v>
      </c>
      <c r="L61" s="514">
        <f t="shared" si="2"/>
        <v>41</v>
      </c>
      <c r="M61" s="524">
        <f t="shared" si="3"/>
        <v>0.82</v>
      </c>
      <c r="N61" s="514" t="s">
        <v>33</v>
      </c>
      <c r="O61" s="515">
        <v>43462</v>
      </c>
      <c r="P61" s="516"/>
      <c r="Q61" s="517">
        <v>2</v>
      </c>
      <c r="R61" s="517">
        <v>2</v>
      </c>
      <c r="S61" s="518">
        <v>5</v>
      </c>
      <c r="T61" s="516">
        <v>2</v>
      </c>
      <c r="U61" s="517">
        <v>3</v>
      </c>
      <c r="V61" s="517">
        <v>2</v>
      </c>
      <c r="W61" s="517">
        <v>1</v>
      </c>
      <c r="X61" s="517">
        <v>2</v>
      </c>
      <c r="Y61" s="517">
        <v>2</v>
      </c>
      <c r="Z61" s="518">
        <v>0</v>
      </c>
      <c r="AA61" s="516">
        <v>3</v>
      </c>
      <c r="AB61" s="517">
        <v>3</v>
      </c>
      <c r="AC61" s="517">
        <v>2</v>
      </c>
      <c r="AD61" s="517">
        <v>2</v>
      </c>
      <c r="AE61" s="518">
        <v>0</v>
      </c>
      <c r="AF61" s="516">
        <v>2</v>
      </c>
      <c r="AG61" s="517">
        <v>2</v>
      </c>
      <c r="AH61" s="517">
        <v>2</v>
      </c>
      <c r="AI61" s="517">
        <v>2</v>
      </c>
      <c r="AJ61" s="517">
        <v>1</v>
      </c>
      <c r="AK61" s="517">
        <v>2</v>
      </c>
      <c r="AL61" s="518">
        <v>-1</v>
      </c>
    </row>
    <row r="62" spans="1:38" ht="17.399999999999999" customHeight="1">
      <c r="A62" s="274">
        <v>3252</v>
      </c>
      <c r="B62" s="283" t="s">
        <v>22</v>
      </c>
      <c r="C62" s="283">
        <v>17</v>
      </c>
      <c r="D62" s="276">
        <v>5</v>
      </c>
      <c r="E62" s="261" t="s">
        <v>605</v>
      </c>
      <c r="F62" s="309" t="s">
        <v>80</v>
      </c>
      <c r="G62" s="510">
        <v>43461</v>
      </c>
      <c r="H62" s="523">
        <v>43444</v>
      </c>
      <c r="I62" s="523"/>
      <c r="J62" s="512">
        <v>1</v>
      </c>
      <c r="K62" s="512">
        <v>2</v>
      </c>
      <c r="L62" s="514">
        <f t="shared" si="2"/>
        <v>42</v>
      </c>
      <c r="M62" s="524">
        <f t="shared" si="3"/>
        <v>0.84</v>
      </c>
      <c r="N62" s="514" t="s">
        <v>33</v>
      </c>
      <c r="O62" s="515">
        <v>43462</v>
      </c>
      <c r="P62" s="516"/>
      <c r="Q62" s="517">
        <v>2</v>
      </c>
      <c r="R62" s="517">
        <v>2</v>
      </c>
      <c r="S62" s="518">
        <v>5</v>
      </c>
      <c r="T62" s="516">
        <v>2</v>
      </c>
      <c r="U62" s="517">
        <v>3</v>
      </c>
      <c r="V62" s="517">
        <v>2</v>
      </c>
      <c r="W62" s="517">
        <v>1</v>
      </c>
      <c r="X62" s="517">
        <v>2</v>
      </c>
      <c r="Y62" s="517">
        <v>2</v>
      </c>
      <c r="Z62" s="518">
        <v>-1</v>
      </c>
      <c r="AA62" s="516">
        <v>3</v>
      </c>
      <c r="AB62" s="517">
        <v>2</v>
      </c>
      <c r="AC62" s="517">
        <v>3</v>
      </c>
      <c r="AD62" s="517">
        <v>2</v>
      </c>
      <c r="AE62" s="518">
        <v>-1</v>
      </c>
      <c r="AF62" s="516">
        <v>3</v>
      </c>
      <c r="AG62" s="517">
        <v>2</v>
      </c>
      <c r="AH62" s="517">
        <v>2</v>
      </c>
      <c r="AI62" s="517">
        <v>3</v>
      </c>
      <c r="AJ62" s="517">
        <v>1</v>
      </c>
      <c r="AK62" s="517">
        <v>2</v>
      </c>
      <c r="AL62" s="518">
        <v>0</v>
      </c>
    </row>
    <row r="63" spans="1:38" ht="17.399999999999999" customHeight="1">
      <c r="A63" s="274">
        <v>3253</v>
      </c>
      <c r="B63" s="283" t="s">
        <v>22</v>
      </c>
      <c r="C63" s="283">
        <v>18</v>
      </c>
      <c r="D63" s="276">
        <v>4</v>
      </c>
      <c r="E63" s="261" t="s">
        <v>605</v>
      </c>
      <c r="F63" s="309" t="s">
        <v>48</v>
      </c>
      <c r="G63" s="510">
        <v>43461</v>
      </c>
      <c r="H63" s="523">
        <v>43450</v>
      </c>
      <c r="I63" s="523"/>
      <c r="J63" s="512">
        <v>1</v>
      </c>
      <c r="K63" s="512">
        <v>2</v>
      </c>
      <c r="L63" s="514">
        <f>SUM(P63:AL63)</f>
        <v>37</v>
      </c>
      <c r="M63" s="524">
        <f>L63/$L$2</f>
        <v>0.74</v>
      </c>
      <c r="N63" s="514">
        <v>4</v>
      </c>
      <c r="O63" s="515">
        <v>43462</v>
      </c>
      <c r="P63" s="516"/>
      <c r="Q63" s="517">
        <v>2</v>
      </c>
      <c r="R63" s="517">
        <v>2</v>
      </c>
      <c r="S63" s="518">
        <v>5</v>
      </c>
      <c r="T63" s="516">
        <v>2</v>
      </c>
      <c r="U63" s="517">
        <v>2</v>
      </c>
      <c r="V63" s="517">
        <v>2</v>
      </c>
      <c r="W63" s="517">
        <v>1</v>
      </c>
      <c r="X63" s="517">
        <v>2</v>
      </c>
      <c r="Y63" s="517">
        <v>1</v>
      </c>
      <c r="Z63" s="518">
        <v>-3</v>
      </c>
      <c r="AA63" s="516">
        <v>2</v>
      </c>
      <c r="AB63" s="517">
        <v>3</v>
      </c>
      <c r="AC63" s="517">
        <v>3</v>
      </c>
      <c r="AD63" s="517">
        <v>3</v>
      </c>
      <c r="AE63" s="518">
        <v>0</v>
      </c>
      <c r="AF63" s="516">
        <v>3</v>
      </c>
      <c r="AG63" s="517">
        <v>2</v>
      </c>
      <c r="AH63" s="517">
        <v>2</v>
      </c>
      <c r="AI63" s="517">
        <v>3</v>
      </c>
      <c r="AJ63" s="517">
        <v>1</v>
      </c>
      <c r="AK63" s="517">
        <v>2</v>
      </c>
      <c r="AL63" s="518">
        <v>-3</v>
      </c>
    </row>
    <row r="64" spans="1:38" ht="17.399999999999999" customHeight="1">
      <c r="A64" s="274">
        <v>3254</v>
      </c>
      <c r="B64" s="283" t="s">
        <v>22</v>
      </c>
      <c r="C64" s="283">
        <v>19</v>
      </c>
      <c r="D64" s="276">
        <v>4</v>
      </c>
      <c r="E64" s="261" t="s">
        <v>605</v>
      </c>
      <c r="F64" s="309" t="s">
        <v>19</v>
      </c>
      <c r="G64" s="510">
        <v>43461</v>
      </c>
      <c r="H64" s="523">
        <v>43450</v>
      </c>
      <c r="I64" s="523"/>
      <c r="J64" s="512">
        <v>1</v>
      </c>
      <c r="K64" s="512">
        <v>2</v>
      </c>
      <c r="L64" s="514">
        <f t="shared" si="2"/>
        <v>37</v>
      </c>
      <c r="M64" s="524">
        <f t="shared" si="3"/>
        <v>0.74</v>
      </c>
      <c r="N64" s="514">
        <v>4</v>
      </c>
      <c r="O64" s="515">
        <v>43462</v>
      </c>
      <c r="P64" s="516"/>
      <c r="Q64" s="517">
        <v>2</v>
      </c>
      <c r="R64" s="517">
        <v>2</v>
      </c>
      <c r="S64" s="518">
        <v>5</v>
      </c>
      <c r="T64" s="516">
        <v>1</v>
      </c>
      <c r="U64" s="517">
        <v>2</v>
      </c>
      <c r="V64" s="517">
        <v>2</v>
      </c>
      <c r="W64" s="517">
        <v>1</v>
      </c>
      <c r="X64" s="517">
        <v>1</v>
      </c>
      <c r="Y64" s="517">
        <v>2</v>
      </c>
      <c r="Z64" s="518">
        <v>0</v>
      </c>
      <c r="AA64" s="516">
        <v>3</v>
      </c>
      <c r="AB64" s="517">
        <v>2</v>
      </c>
      <c r="AC64" s="517">
        <v>0</v>
      </c>
      <c r="AD64" s="517">
        <v>5</v>
      </c>
      <c r="AE64" s="518">
        <v>0</v>
      </c>
      <c r="AF64" s="516">
        <v>2</v>
      </c>
      <c r="AG64" s="517">
        <v>2</v>
      </c>
      <c r="AH64" s="517">
        <v>2</v>
      </c>
      <c r="AI64" s="517">
        <v>3</v>
      </c>
      <c r="AJ64" s="517">
        <v>1</v>
      </c>
      <c r="AK64" s="517">
        <v>2</v>
      </c>
      <c r="AL64" s="518">
        <v>-3</v>
      </c>
    </row>
    <row r="65" spans="1:38" ht="17.399999999999999" customHeight="1">
      <c r="A65" s="274">
        <v>3255</v>
      </c>
      <c r="B65" s="283" t="s">
        <v>22</v>
      </c>
      <c r="C65" s="283">
        <v>20</v>
      </c>
      <c r="D65" s="276">
        <v>5</v>
      </c>
      <c r="E65" s="261" t="s">
        <v>164</v>
      </c>
      <c r="F65" s="309" t="s">
        <v>127</v>
      </c>
      <c r="G65" s="510">
        <v>43461</v>
      </c>
      <c r="H65" s="523"/>
      <c r="I65" s="523" t="s">
        <v>208</v>
      </c>
      <c r="J65" s="512">
        <v>1</v>
      </c>
      <c r="K65" s="512">
        <v>2</v>
      </c>
      <c r="L65" s="514">
        <f t="shared" si="2"/>
        <v>0</v>
      </c>
      <c r="M65" s="524">
        <f t="shared" si="3"/>
        <v>0</v>
      </c>
      <c r="N65" s="514">
        <v>1</v>
      </c>
      <c r="O65" s="515">
        <v>43462</v>
      </c>
      <c r="P65" s="516"/>
      <c r="Q65" s="517"/>
      <c r="R65" s="517"/>
      <c r="S65" s="518"/>
      <c r="T65" s="516"/>
      <c r="U65" s="517"/>
      <c r="V65" s="517"/>
      <c r="W65" s="517"/>
      <c r="X65" s="517"/>
      <c r="Y65" s="517"/>
      <c r="Z65" s="518"/>
      <c r="AA65" s="516"/>
      <c r="AB65" s="517"/>
      <c r="AC65" s="517"/>
      <c r="AD65" s="517"/>
      <c r="AE65" s="518"/>
      <c r="AF65" s="516"/>
      <c r="AG65" s="517"/>
      <c r="AH65" s="517"/>
      <c r="AI65" s="517"/>
      <c r="AJ65" s="517"/>
      <c r="AK65" s="517"/>
      <c r="AL65" s="518"/>
    </row>
    <row r="66" spans="1:38" ht="17.399999999999999" customHeight="1">
      <c r="A66" s="274">
        <v>3256</v>
      </c>
      <c r="B66" s="283" t="s">
        <v>22</v>
      </c>
      <c r="C66" s="283">
        <v>21</v>
      </c>
      <c r="D66" s="276">
        <v>4</v>
      </c>
      <c r="E66" s="261" t="s">
        <v>443</v>
      </c>
      <c r="F66" s="309" t="s">
        <v>188</v>
      </c>
      <c r="G66" s="510">
        <v>43474</v>
      </c>
      <c r="H66" s="523"/>
      <c r="I66" s="523" t="s">
        <v>211</v>
      </c>
      <c r="J66" s="512">
        <v>1</v>
      </c>
      <c r="K66" s="512">
        <v>2</v>
      </c>
      <c r="L66" s="514">
        <f t="shared" si="2"/>
        <v>0</v>
      </c>
      <c r="M66" s="524">
        <f t="shared" si="3"/>
        <v>0</v>
      </c>
      <c r="N66" s="514">
        <v>1</v>
      </c>
      <c r="O66" s="515">
        <v>43468</v>
      </c>
      <c r="P66" s="516"/>
      <c r="Q66" s="517"/>
      <c r="R66" s="517"/>
      <c r="S66" s="518"/>
      <c r="T66" s="516"/>
      <c r="U66" s="517"/>
      <c r="V66" s="517"/>
      <c r="W66" s="517"/>
      <c r="X66" s="517"/>
      <c r="Y66" s="517"/>
      <c r="Z66" s="518"/>
      <c r="AA66" s="516"/>
      <c r="AB66" s="517"/>
      <c r="AC66" s="517"/>
      <c r="AD66" s="517"/>
      <c r="AE66" s="518"/>
      <c r="AF66" s="516"/>
      <c r="AG66" s="517"/>
      <c r="AH66" s="517"/>
      <c r="AI66" s="517"/>
      <c r="AJ66" s="517"/>
      <c r="AK66" s="517"/>
      <c r="AL66" s="518"/>
    </row>
    <row r="67" spans="1:38" ht="17.399999999999999" customHeight="1">
      <c r="A67" s="274">
        <v>3257</v>
      </c>
      <c r="B67" s="283" t="s">
        <v>22</v>
      </c>
      <c r="C67" s="283">
        <v>22</v>
      </c>
      <c r="D67" s="276">
        <v>6</v>
      </c>
      <c r="E67" s="261" t="s">
        <v>445</v>
      </c>
      <c r="F67" s="309" t="s">
        <v>185</v>
      </c>
      <c r="G67" s="510">
        <v>43461</v>
      </c>
      <c r="H67" s="523"/>
      <c r="I67" s="523" t="s">
        <v>208</v>
      </c>
      <c r="J67" s="512">
        <v>1</v>
      </c>
      <c r="K67" s="512">
        <v>2</v>
      </c>
      <c r="L67" s="514">
        <f t="shared" si="2"/>
        <v>0</v>
      </c>
      <c r="M67" s="524">
        <f t="shared" si="3"/>
        <v>0</v>
      </c>
      <c r="N67" s="514">
        <v>1</v>
      </c>
      <c r="O67" s="515">
        <v>43462</v>
      </c>
      <c r="P67" s="516"/>
      <c r="Q67" s="517"/>
      <c r="R67" s="517"/>
      <c r="S67" s="518"/>
      <c r="T67" s="516"/>
      <c r="U67" s="517"/>
      <c r="V67" s="517"/>
      <c r="W67" s="517"/>
      <c r="X67" s="517"/>
      <c r="Y67" s="517"/>
      <c r="Z67" s="518"/>
      <c r="AA67" s="516"/>
      <c r="AB67" s="517"/>
      <c r="AC67" s="517"/>
      <c r="AD67" s="517"/>
      <c r="AE67" s="518"/>
      <c r="AF67" s="516"/>
      <c r="AG67" s="517"/>
      <c r="AH67" s="517"/>
      <c r="AI67" s="517"/>
      <c r="AJ67" s="517"/>
      <c r="AK67" s="517"/>
      <c r="AL67" s="518"/>
    </row>
    <row r="68" spans="1:38" ht="17.399999999999999" customHeight="1">
      <c r="A68" s="274">
        <v>3259</v>
      </c>
      <c r="B68" s="283" t="s">
        <v>22</v>
      </c>
      <c r="C68" s="283">
        <v>23</v>
      </c>
      <c r="D68" s="276">
        <v>5</v>
      </c>
      <c r="E68" s="261" t="s">
        <v>1</v>
      </c>
      <c r="F68" s="309" t="s">
        <v>385</v>
      </c>
      <c r="G68" s="510">
        <v>43461</v>
      </c>
      <c r="H68" s="523">
        <v>43450</v>
      </c>
      <c r="I68" s="523" t="s">
        <v>725</v>
      </c>
      <c r="J68" s="512">
        <v>1</v>
      </c>
      <c r="K68" s="512">
        <v>2</v>
      </c>
      <c r="L68" s="514">
        <f t="shared" si="2"/>
        <v>10</v>
      </c>
      <c r="M68" s="524">
        <f t="shared" si="3"/>
        <v>0.2</v>
      </c>
      <c r="N68" s="514">
        <v>1</v>
      </c>
      <c r="O68" s="515">
        <v>43462</v>
      </c>
      <c r="P68" s="516"/>
      <c r="Q68" s="517">
        <v>2</v>
      </c>
      <c r="R68" s="517">
        <v>2</v>
      </c>
      <c r="S68" s="518">
        <v>5</v>
      </c>
      <c r="T68" s="516">
        <v>0</v>
      </c>
      <c r="U68" s="517">
        <v>3</v>
      </c>
      <c r="V68" s="517">
        <v>2</v>
      </c>
      <c r="W68" s="517">
        <v>1</v>
      </c>
      <c r="X68" s="517">
        <v>2</v>
      </c>
      <c r="Y68" s="517">
        <v>0</v>
      </c>
      <c r="Z68" s="518">
        <v>-15</v>
      </c>
      <c r="AA68" s="516">
        <v>2</v>
      </c>
      <c r="AB68" s="517">
        <v>0</v>
      </c>
      <c r="AC68" s="517">
        <v>0</v>
      </c>
      <c r="AD68" s="517">
        <v>0</v>
      </c>
      <c r="AE68" s="518">
        <v>-4</v>
      </c>
      <c r="AF68" s="516">
        <v>2</v>
      </c>
      <c r="AG68" s="517">
        <v>2</v>
      </c>
      <c r="AH68" s="517">
        <v>2</v>
      </c>
      <c r="AI68" s="517">
        <v>3</v>
      </c>
      <c r="AJ68" s="517">
        <v>1</v>
      </c>
      <c r="AK68" s="517">
        <v>2</v>
      </c>
      <c r="AL68" s="518">
        <v>-2</v>
      </c>
    </row>
    <row r="69" spans="1:38" ht="17.399999999999999" customHeight="1">
      <c r="A69" s="274">
        <v>3260</v>
      </c>
      <c r="B69" s="283" t="s">
        <v>22</v>
      </c>
      <c r="C69" s="283">
        <v>24</v>
      </c>
      <c r="D69" s="276">
        <v>6</v>
      </c>
      <c r="E69" s="261" t="s">
        <v>60</v>
      </c>
      <c r="F69" s="309" t="s">
        <v>47</v>
      </c>
      <c r="G69" s="510">
        <v>43461</v>
      </c>
      <c r="H69" s="523">
        <v>43445</v>
      </c>
      <c r="I69" s="523" t="s">
        <v>728</v>
      </c>
      <c r="J69" s="512">
        <v>1</v>
      </c>
      <c r="K69" s="512">
        <v>2</v>
      </c>
      <c r="L69" s="514">
        <f t="shared" si="2"/>
        <v>10</v>
      </c>
      <c r="M69" s="524">
        <f t="shared" si="3"/>
        <v>0.2</v>
      </c>
      <c r="N69" s="514">
        <v>1</v>
      </c>
      <c r="O69" s="515">
        <v>43462</v>
      </c>
      <c r="P69" s="516">
        <v>-3</v>
      </c>
      <c r="Q69" s="517">
        <v>2</v>
      </c>
      <c r="R69" s="517">
        <v>0</v>
      </c>
      <c r="S69" s="518">
        <v>1</v>
      </c>
      <c r="T69" s="516">
        <v>1</v>
      </c>
      <c r="U69" s="517">
        <v>2</v>
      </c>
      <c r="V69" s="517">
        <v>1</v>
      </c>
      <c r="W69" s="517">
        <v>0</v>
      </c>
      <c r="X69" s="517">
        <v>1</v>
      </c>
      <c r="Y69" s="517">
        <v>1</v>
      </c>
      <c r="Z69" s="518">
        <v>-2</v>
      </c>
      <c r="AA69" s="516">
        <v>3</v>
      </c>
      <c r="AB69" s="517">
        <v>2</v>
      </c>
      <c r="AC69" s="517">
        <v>0</v>
      </c>
      <c r="AD69" s="517">
        <v>0</v>
      </c>
      <c r="AE69" s="518">
        <v>-3</v>
      </c>
      <c r="AF69" s="516">
        <v>4</v>
      </c>
      <c r="AG69" s="517">
        <v>2</v>
      </c>
      <c r="AH69" s="517">
        <v>0</v>
      </c>
      <c r="AI69" s="517">
        <v>1</v>
      </c>
      <c r="AJ69" s="517">
        <v>0</v>
      </c>
      <c r="AK69" s="517">
        <v>1</v>
      </c>
      <c r="AL69" s="518">
        <v>-4</v>
      </c>
    </row>
    <row r="70" spans="1:38" ht="17.399999999999999" customHeight="1">
      <c r="A70" s="274">
        <v>3258</v>
      </c>
      <c r="B70" s="283" t="s">
        <v>22</v>
      </c>
      <c r="C70" s="283">
        <v>25</v>
      </c>
      <c r="D70" s="276">
        <v>6</v>
      </c>
      <c r="E70" s="261" t="s">
        <v>585</v>
      </c>
      <c r="F70" s="309" t="s">
        <v>82</v>
      </c>
      <c r="G70" s="510">
        <v>43474</v>
      </c>
      <c r="H70" s="523">
        <v>43472</v>
      </c>
      <c r="I70" s="523"/>
      <c r="J70" s="512">
        <v>1</v>
      </c>
      <c r="K70" s="512">
        <v>2</v>
      </c>
      <c r="L70" s="514">
        <f>SUM(P70:AL70)</f>
        <v>37</v>
      </c>
      <c r="M70" s="524">
        <f>L70/$L$2</f>
        <v>0.74</v>
      </c>
      <c r="N70" s="514">
        <v>4</v>
      </c>
      <c r="O70" s="515">
        <v>43474</v>
      </c>
      <c r="P70" s="516"/>
      <c r="Q70" s="517">
        <v>2</v>
      </c>
      <c r="R70" s="517">
        <v>2</v>
      </c>
      <c r="S70" s="518">
        <v>5</v>
      </c>
      <c r="T70" s="516">
        <v>1</v>
      </c>
      <c r="U70" s="517">
        <v>2</v>
      </c>
      <c r="V70" s="517">
        <v>2</v>
      </c>
      <c r="W70" s="517">
        <v>1</v>
      </c>
      <c r="X70" s="517">
        <v>1</v>
      </c>
      <c r="Y70" s="517">
        <v>1</v>
      </c>
      <c r="Z70" s="518">
        <v>0</v>
      </c>
      <c r="AA70" s="516">
        <v>3</v>
      </c>
      <c r="AB70" s="517">
        <v>2</v>
      </c>
      <c r="AC70" s="517">
        <v>3</v>
      </c>
      <c r="AD70" s="517">
        <v>2</v>
      </c>
      <c r="AE70" s="518">
        <v>0</v>
      </c>
      <c r="AF70" s="516">
        <v>3</v>
      </c>
      <c r="AG70" s="517">
        <v>2</v>
      </c>
      <c r="AH70" s="517">
        <v>2</v>
      </c>
      <c r="AI70" s="517">
        <v>2</v>
      </c>
      <c r="AJ70" s="517">
        <v>1</v>
      </c>
      <c r="AK70" s="517">
        <v>2</v>
      </c>
      <c r="AL70" s="518">
        <v>-2</v>
      </c>
    </row>
    <row r="71" spans="1:38" ht="17.399999999999999" customHeight="1">
      <c r="A71" s="274">
        <v>3261</v>
      </c>
      <c r="B71" s="283" t="s">
        <v>22</v>
      </c>
      <c r="C71" s="283">
        <v>26</v>
      </c>
      <c r="D71" s="276">
        <v>5</v>
      </c>
      <c r="E71" s="261" t="s">
        <v>585</v>
      </c>
      <c r="F71" s="309" t="s">
        <v>185</v>
      </c>
      <c r="G71" s="510">
        <v>43461</v>
      </c>
      <c r="H71" s="523">
        <v>43450</v>
      </c>
      <c r="I71" s="523" t="s">
        <v>705</v>
      </c>
      <c r="J71" s="512">
        <v>1</v>
      </c>
      <c r="K71" s="512">
        <v>2</v>
      </c>
      <c r="L71" s="514">
        <f t="shared" si="2"/>
        <v>20</v>
      </c>
      <c r="M71" s="524">
        <f t="shared" si="3"/>
        <v>0.4</v>
      </c>
      <c r="N71" s="514">
        <v>2</v>
      </c>
      <c r="O71" s="515">
        <v>43462</v>
      </c>
      <c r="P71" s="516">
        <v>-3</v>
      </c>
      <c r="Q71" s="517">
        <v>2</v>
      </c>
      <c r="R71" s="517">
        <v>2</v>
      </c>
      <c r="S71" s="518">
        <v>0</v>
      </c>
      <c r="T71" s="516">
        <v>1</v>
      </c>
      <c r="U71" s="517">
        <v>3</v>
      </c>
      <c r="V71" s="517">
        <v>2</v>
      </c>
      <c r="W71" s="517">
        <v>1</v>
      </c>
      <c r="X71" s="517">
        <v>1</v>
      </c>
      <c r="Y71" s="517">
        <v>2</v>
      </c>
      <c r="Z71" s="518">
        <v>0</v>
      </c>
      <c r="AA71" s="516">
        <v>3</v>
      </c>
      <c r="AB71" s="517">
        <v>1</v>
      </c>
      <c r="AC71" s="517">
        <v>1</v>
      </c>
      <c r="AD71" s="517">
        <v>0</v>
      </c>
      <c r="AE71" s="518">
        <v>-1</v>
      </c>
      <c r="AF71" s="516">
        <v>2</v>
      </c>
      <c r="AG71" s="517">
        <v>2</v>
      </c>
      <c r="AH71" s="517">
        <v>0</v>
      </c>
      <c r="AI71" s="517">
        <v>1</v>
      </c>
      <c r="AJ71" s="517">
        <v>0</v>
      </c>
      <c r="AK71" s="517">
        <v>0</v>
      </c>
      <c r="AL71" s="518">
        <v>0</v>
      </c>
    </row>
    <row r="72" spans="1:38" ht="17.399999999999999" customHeight="1">
      <c r="A72" s="274">
        <v>3262</v>
      </c>
      <c r="B72" s="283" t="s">
        <v>22</v>
      </c>
      <c r="C72" s="283">
        <v>27</v>
      </c>
      <c r="D72" s="276">
        <v>5</v>
      </c>
      <c r="E72" s="261" t="s">
        <v>606</v>
      </c>
      <c r="F72" s="309" t="s">
        <v>128</v>
      </c>
      <c r="G72" s="510">
        <v>43467</v>
      </c>
      <c r="H72" s="523"/>
      <c r="I72" s="523" t="s">
        <v>208</v>
      </c>
      <c r="J72" s="512">
        <v>1</v>
      </c>
      <c r="K72" s="512">
        <v>2</v>
      </c>
      <c r="L72" s="514">
        <f>SUM(P72:AL72)</f>
        <v>0</v>
      </c>
      <c r="M72" s="524">
        <f>L72/$L$2</f>
        <v>0</v>
      </c>
      <c r="N72" s="514">
        <v>1</v>
      </c>
      <c r="O72" s="515">
        <v>43468</v>
      </c>
      <c r="P72" s="516"/>
      <c r="Q72" s="517"/>
      <c r="R72" s="517"/>
      <c r="S72" s="518"/>
      <c r="T72" s="516"/>
      <c r="U72" s="517"/>
      <c r="V72" s="517"/>
      <c r="W72" s="517"/>
      <c r="X72" s="517"/>
      <c r="Y72" s="517"/>
      <c r="Z72" s="518"/>
      <c r="AA72" s="516"/>
      <c r="AB72" s="517"/>
      <c r="AC72" s="517"/>
      <c r="AD72" s="517"/>
      <c r="AE72" s="518"/>
      <c r="AF72" s="516"/>
      <c r="AG72" s="517"/>
      <c r="AH72" s="517"/>
      <c r="AI72" s="517"/>
      <c r="AJ72" s="517"/>
      <c r="AK72" s="517"/>
      <c r="AL72" s="518"/>
    </row>
    <row r="73" spans="1:38" ht="17.399999999999999" customHeight="1">
      <c r="A73" s="274">
        <v>3263</v>
      </c>
      <c r="B73" s="283" t="s">
        <v>22</v>
      </c>
      <c r="C73" s="283">
        <v>28</v>
      </c>
      <c r="D73" s="276">
        <v>5</v>
      </c>
      <c r="E73" s="261" t="s">
        <v>607</v>
      </c>
      <c r="F73" s="309" t="s">
        <v>48</v>
      </c>
      <c r="G73" s="510">
        <v>43467</v>
      </c>
      <c r="H73" s="523">
        <v>43467</v>
      </c>
      <c r="I73" s="523"/>
      <c r="J73" s="512">
        <v>1</v>
      </c>
      <c r="K73" s="512">
        <v>2</v>
      </c>
      <c r="L73" s="514">
        <f>SUM(P73:AL73)</f>
        <v>29</v>
      </c>
      <c r="M73" s="524">
        <f>L73/$L$2</f>
        <v>0.57999999999999996</v>
      </c>
      <c r="N73" s="514">
        <v>3</v>
      </c>
      <c r="O73" s="515">
        <v>43468</v>
      </c>
      <c r="P73" s="516"/>
      <c r="Q73" s="517">
        <v>0</v>
      </c>
      <c r="R73" s="517">
        <v>2</v>
      </c>
      <c r="S73" s="518">
        <v>5</v>
      </c>
      <c r="T73" s="516">
        <v>1</v>
      </c>
      <c r="U73" s="517">
        <v>2</v>
      </c>
      <c r="V73" s="517">
        <v>2</v>
      </c>
      <c r="W73" s="517">
        <v>1</v>
      </c>
      <c r="X73" s="517">
        <v>1</v>
      </c>
      <c r="Y73" s="517">
        <v>1</v>
      </c>
      <c r="Z73" s="518">
        <v>-1</v>
      </c>
      <c r="AA73" s="516">
        <v>2</v>
      </c>
      <c r="AB73" s="517">
        <v>1</v>
      </c>
      <c r="AC73" s="517">
        <v>2</v>
      </c>
      <c r="AD73" s="517">
        <v>2</v>
      </c>
      <c r="AE73" s="518">
        <v>0</v>
      </c>
      <c r="AF73" s="516">
        <v>2</v>
      </c>
      <c r="AG73" s="517">
        <v>2</v>
      </c>
      <c r="AH73" s="517">
        <v>2</v>
      </c>
      <c r="AI73" s="517">
        <v>3</v>
      </c>
      <c r="AJ73" s="517">
        <v>0</v>
      </c>
      <c r="AK73" s="517">
        <v>1</v>
      </c>
      <c r="AL73" s="518">
        <v>-2</v>
      </c>
    </row>
    <row r="74" spans="1:38" ht="17.399999999999999" customHeight="1">
      <c r="A74" s="274">
        <v>3264</v>
      </c>
      <c r="B74" s="283" t="s">
        <v>22</v>
      </c>
      <c r="C74" s="283">
        <v>29</v>
      </c>
      <c r="D74" s="276">
        <v>4</v>
      </c>
      <c r="E74" s="261" t="s">
        <v>110</v>
      </c>
      <c r="F74" s="309" t="s">
        <v>185</v>
      </c>
      <c r="G74" s="510">
        <v>43467</v>
      </c>
      <c r="H74" s="523">
        <v>43467</v>
      </c>
      <c r="I74" s="523" t="s">
        <v>754</v>
      </c>
      <c r="J74" s="512">
        <v>1</v>
      </c>
      <c r="K74" s="512">
        <v>2</v>
      </c>
      <c r="L74" s="514">
        <f>SUM(P74:AL74)</f>
        <v>14</v>
      </c>
      <c r="M74" s="524">
        <f>L74/$L$2</f>
        <v>0.28000000000000003</v>
      </c>
      <c r="N74" s="514">
        <v>1</v>
      </c>
      <c r="O74" s="515">
        <v>43468</v>
      </c>
      <c r="P74" s="516">
        <v>-3</v>
      </c>
      <c r="Q74" s="517">
        <v>2</v>
      </c>
      <c r="R74" s="517">
        <v>2</v>
      </c>
      <c r="S74" s="518">
        <v>0</v>
      </c>
      <c r="T74" s="516">
        <v>0</v>
      </c>
      <c r="U74" s="517">
        <v>0</v>
      </c>
      <c r="V74" s="517">
        <v>2</v>
      </c>
      <c r="W74" s="517">
        <v>1</v>
      </c>
      <c r="X74" s="517">
        <v>2</v>
      </c>
      <c r="Y74" s="517">
        <v>1</v>
      </c>
      <c r="Z74" s="518">
        <v>-5</v>
      </c>
      <c r="AA74" s="516">
        <v>3</v>
      </c>
      <c r="AB74" s="517">
        <v>0</v>
      </c>
      <c r="AC74" s="517">
        <v>1</v>
      </c>
      <c r="AD74" s="517">
        <v>0</v>
      </c>
      <c r="AE74" s="518">
        <v>0</v>
      </c>
      <c r="AF74" s="516">
        <v>2</v>
      </c>
      <c r="AG74" s="517">
        <v>2</v>
      </c>
      <c r="AH74" s="517">
        <v>2</v>
      </c>
      <c r="AI74" s="517">
        <v>3</v>
      </c>
      <c r="AJ74" s="517">
        <v>1</v>
      </c>
      <c r="AK74" s="517">
        <v>2</v>
      </c>
      <c r="AL74" s="518">
        <v>-4</v>
      </c>
    </row>
    <row r="75" spans="1:38" ht="17.399999999999999" customHeight="1">
      <c r="A75" s="274">
        <v>3265</v>
      </c>
      <c r="B75" s="283" t="s">
        <v>22</v>
      </c>
      <c r="C75" s="283">
        <v>30</v>
      </c>
      <c r="D75" s="276">
        <v>6</v>
      </c>
      <c r="E75" s="261" t="s">
        <v>608</v>
      </c>
      <c r="F75" s="309" t="s">
        <v>47</v>
      </c>
      <c r="G75" s="510">
        <v>43461</v>
      </c>
      <c r="H75" s="523">
        <v>43450</v>
      </c>
      <c r="I75" s="523"/>
      <c r="J75" s="512">
        <v>1</v>
      </c>
      <c r="K75" s="512">
        <v>2</v>
      </c>
      <c r="L75" s="514">
        <f t="shared" si="2"/>
        <v>38</v>
      </c>
      <c r="M75" s="524">
        <f t="shared" si="3"/>
        <v>0.76</v>
      </c>
      <c r="N75" s="514">
        <v>4</v>
      </c>
      <c r="O75" s="515">
        <v>43462</v>
      </c>
      <c r="P75" s="516"/>
      <c r="Q75" s="517">
        <v>2</v>
      </c>
      <c r="R75" s="517">
        <v>2</v>
      </c>
      <c r="S75" s="518">
        <v>5</v>
      </c>
      <c r="T75" s="516">
        <v>1</v>
      </c>
      <c r="U75" s="517">
        <v>2</v>
      </c>
      <c r="V75" s="517">
        <v>2</v>
      </c>
      <c r="W75" s="517">
        <v>1</v>
      </c>
      <c r="X75" s="517">
        <v>1</v>
      </c>
      <c r="Y75" s="517">
        <v>2</v>
      </c>
      <c r="Z75" s="518">
        <v>0</v>
      </c>
      <c r="AA75" s="516">
        <v>3</v>
      </c>
      <c r="AB75" s="517">
        <v>3</v>
      </c>
      <c r="AC75" s="517">
        <v>3</v>
      </c>
      <c r="AD75" s="517">
        <v>1</v>
      </c>
      <c r="AE75" s="518">
        <v>-1</v>
      </c>
      <c r="AF75" s="516">
        <v>2</v>
      </c>
      <c r="AG75" s="517">
        <v>2</v>
      </c>
      <c r="AH75" s="517">
        <v>2</v>
      </c>
      <c r="AI75" s="517">
        <v>2</v>
      </c>
      <c r="AJ75" s="517">
        <v>1</v>
      </c>
      <c r="AK75" s="517">
        <v>2</v>
      </c>
      <c r="AL75" s="518">
        <v>0</v>
      </c>
    </row>
    <row r="76" spans="1:38" ht="17.399999999999999" customHeight="1">
      <c r="A76" s="274">
        <v>3266</v>
      </c>
      <c r="B76" s="283" t="s">
        <v>22</v>
      </c>
      <c r="C76" s="283">
        <v>31</v>
      </c>
      <c r="D76" s="276">
        <v>6</v>
      </c>
      <c r="E76" s="261" t="s">
        <v>609</v>
      </c>
      <c r="F76" s="309" t="s">
        <v>379</v>
      </c>
      <c r="G76" s="510">
        <v>43461</v>
      </c>
      <c r="H76" s="523">
        <v>43450</v>
      </c>
      <c r="I76" s="523" t="s">
        <v>727</v>
      </c>
      <c r="J76" s="512">
        <v>1</v>
      </c>
      <c r="K76" s="512">
        <v>2</v>
      </c>
      <c r="L76" s="514">
        <f>SUM(P76:AL76)</f>
        <v>17</v>
      </c>
      <c r="M76" s="524">
        <f>L76/$L$2</f>
        <v>0.34</v>
      </c>
      <c r="N76" s="514">
        <v>1</v>
      </c>
      <c r="O76" s="515">
        <v>43462</v>
      </c>
      <c r="P76" s="516">
        <v>-6</v>
      </c>
      <c r="Q76" s="517">
        <v>2</v>
      </c>
      <c r="R76" s="517">
        <v>2</v>
      </c>
      <c r="S76" s="518">
        <v>5</v>
      </c>
      <c r="T76" s="516">
        <v>3</v>
      </c>
      <c r="U76" s="517">
        <v>2</v>
      </c>
      <c r="V76" s="517">
        <v>2</v>
      </c>
      <c r="W76" s="517">
        <v>1</v>
      </c>
      <c r="X76" s="517">
        <v>1</v>
      </c>
      <c r="Y76" s="517">
        <v>0</v>
      </c>
      <c r="Z76" s="518">
        <v>-7</v>
      </c>
      <c r="AA76" s="516">
        <v>2</v>
      </c>
      <c r="AB76" s="517">
        <v>1</v>
      </c>
      <c r="AC76" s="517">
        <v>3</v>
      </c>
      <c r="AD76" s="517">
        <v>3</v>
      </c>
      <c r="AE76" s="518">
        <v>-6</v>
      </c>
      <c r="AF76" s="516">
        <v>2</v>
      </c>
      <c r="AG76" s="517">
        <v>2</v>
      </c>
      <c r="AH76" s="517">
        <v>2</v>
      </c>
      <c r="AI76" s="517">
        <v>2</v>
      </c>
      <c r="AJ76" s="517">
        <v>1</v>
      </c>
      <c r="AK76" s="517">
        <v>2</v>
      </c>
      <c r="AL76" s="518">
        <v>-2</v>
      </c>
    </row>
    <row r="77" spans="1:38" ht="17.399999999999999" customHeight="1">
      <c r="A77" s="274">
        <v>3267</v>
      </c>
      <c r="B77" s="283" t="s">
        <v>22</v>
      </c>
      <c r="C77" s="283">
        <v>32</v>
      </c>
      <c r="D77" s="276">
        <v>4</v>
      </c>
      <c r="E77" s="261" t="s">
        <v>610</v>
      </c>
      <c r="F77" s="309" t="s">
        <v>79</v>
      </c>
      <c r="G77" s="510">
        <v>43461</v>
      </c>
      <c r="H77" s="523">
        <v>43450</v>
      </c>
      <c r="I77" s="523" t="s">
        <v>726</v>
      </c>
      <c r="J77" s="512">
        <v>1</v>
      </c>
      <c r="K77" s="512">
        <v>2</v>
      </c>
      <c r="L77" s="514">
        <f t="shared" si="2"/>
        <v>17</v>
      </c>
      <c r="M77" s="524">
        <f t="shared" si="3"/>
        <v>0.34</v>
      </c>
      <c r="N77" s="514">
        <v>1</v>
      </c>
      <c r="O77" s="515">
        <v>43462</v>
      </c>
      <c r="P77" s="516">
        <v>-6</v>
      </c>
      <c r="Q77" s="517">
        <v>2</v>
      </c>
      <c r="R77" s="517">
        <v>2</v>
      </c>
      <c r="S77" s="518">
        <v>5</v>
      </c>
      <c r="T77" s="516">
        <v>3</v>
      </c>
      <c r="U77" s="517">
        <v>2</v>
      </c>
      <c r="V77" s="517">
        <v>2</v>
      </c>
      <c r="W77" s="517">
        <v>1</v>
      </c>
      <c r="X77" s="517">
        <v>1</v>
      </c>
      <c r="Y77" s="517">
        <v>0</v>
      </c>
      <c r="Z77" s="518">
        <v>-7</v>
      </c>
      <c r="AA77" s="516">
        <v>2</v>
      </c>
      <c r="AB77" s="517">
        <v>1</v>
      </c>
      <c r="AC77" s="517">
        <v>3</v>
      </c>
      <c r="AD77" s="517">
        <v>3</v>
      </c>
      <c r="AE77" s="518">
        <v>-6</v>
      </c>
      <c r="AF77" s="516">
        <v>2</v>
      </c>
      <c r="AG77" s="517">
        <v>2</v>
      </c>
      <c r="AH77" s="517">
        <v>2</v>
      </c>
      <c r="AI77" s="517">
        <v>2</v>
      </c>
      <c r="AJ77" s="517">
        <v>1</v>
      </c>
      <c r="AK77" s="517">
        <v>2</v>
      </c>
      <c r="AL77" s="518">
        <v>-2</v>
      </c>
    </row>
    <row r="78" spans="1:38" ht="17.399999999999999" customHeight="1" thickBot="1">
      <c r="A78" s="288">
        <v>3353</v>
      </c>
      <c r="B78" s="297" t="s">
        <v>22</v>
      </c>
      <c r="C78" s="297">
        <v>33</v>
      </c>
      <c r="D78" s="290">
        <v>4</v>
      </c>
      <c r="E78" s="324" t="s">
        <v>611</v>
      </c>
      <c r="F78" s="325" t="s">
        <v>2</v>
      </c>
      <c r="G78" s="525">
        <v>43467</v>
      </c>
      <c r="H78" s="526"/>
      <c r="I78" s="526" t="s">
        <v>208</v>
      </c>
      <c r="J78" s="527">
        <v>1</v>
      </c>
      <c r="K78" s="527">
        <v>2</v>
      </c>
      <c r="L78" s="528">
        <f>SUM(P78:AL78)</f>
        <v>0</v>
      </c>
      <c r="M78" s="529">
        <f>L78/$L$2</f>
        <v>0</v>
      </c>
      <c r="N78" s="528">
        <v>1</v>
      </c>
      <c r="O78" s="530">
        <v>43468</v>
      </c>
      <c r="P78" s="531"/>
      <c r="Q78" s="532"/>
      <c r="R78" s="532"/>
      <c r="S78" s="533"/>
      <c r="T78" s="531"/>
      <c r="U78" s="532"/>
      <c r="V78" s="532"/>
      <c r="W78" s="532"/>
      <c r="X78" s="532"/>
      <c r="Y78" s="532"/>
      <c r="Z78" s="533"/>
      <c r="AA78" s="531"/>
      <c r="AB78" s="532"/>
      <c r="AC78" s="532"/>
      <c r="AD78" s="532"/>
      <c r="AE78" s="533"/>
      <c r="AF78" s="531"/>
      <c r="AG78" s="532"/>
      <c r="AH78" s="532"/>
      <c r="AI78" s="532"/>
      <c r="AJ78" s="532"/>
      <c r="AK78" s="532"/>
      <c r="AL78" s="533"/>
    </row>
    <row r="79" spans="1:38" ht="17.399999999999999" customHeight="1" thickTop="1">
      <c r="A79" s="264">
        <v>3268</v>
      </c>
      <c r="B79" s="265" t="s">
        <v>23</v>
      </c>
      <c r="C79" s="265">
        <v>1</v>
      </c>
      <c r="D79" s="266">
        <v>7</v>
      </c>
      <c r="E79" s="259" t="s">
        <v>612</v>
      </c>
      <c r="F79" s="307" t="s">
        <v>80</v>
      </c>
      <c r="G79" s="501">
        <v>43461</v>
      </c>
      <c r="H79" s="534">
        <v>43451</v>
      </c>
      <c r="I79" s="534" t="s">
        <v>729</v>
      </c>
      <c r="J79" s="503">
        <v>1</v>
      </c>
      <c r="K79" s="503">
        <v>2</v>
      </c>
      <c r="L79" s="505">
        <f>SUM(P79:AL79)</f>
        <v>9</v>
      </c>
      <c r="M79" s="535">
        <f>L79/$L$2</f>
        <v>0.18</v>
      </c>
      <c r="N79" s="505">
        <v>1</v>
      </c>
      <c r="O79" s="506">
        <v>43462</v>
      </c>
      <c r="P79" s="507"/>
      <c r="Q79" s="508">
        <v>2</v>
      </c>
      <c r="R79" s="508">
        <v>2</v>
      </c>
      <c r="S79" s="509">
        <v>5</v>
      </c>
      <c r="T79" s="507">
        <v>0</v>
      </c>
      <c r="U79" s="508">
        <v>1</v>
      </c>
      <c r="V79" s="508">
        <v>2</v>
      </c>
      <c r="W79" s="508">
        <v>1</v>
      </c>
      <c r="X79" s="508">
        <v>1</v>
      </c>
      <c r="Y79" s="508">
        <v>0</v>
      </c>
      <c r="Z79" s="509">
        <v>-12</v>
      </c>
      <c r="AA79" s="507">
        <v>2</v>
      </c>
      <c r="AB79" s="508">
        <v>3</v>
      </c>
      <c r="AC79" s="508">
        <v>0</v>
      </c>
      <c r="AD79" s="508">
        <v>0</v>
      </c>
      <c r="AE79" s="509">
        <v>-10</v>
      </c>
      <c r="AF79" s="507">
        <v>3</v>
      </c>
      <c r="AG79" s="508">
        <v>2</v>
      </c>
      <c r="AH79" s="508">
        <v>2</v>
      </c>
      <c r="AI79" s="508">
        <v>3</v>
      </c>
      <c r="AJ79" s="508">
        <v>1</v>
      </c>
      <c r="AK79" s="508">
        <v>2</v>
      </c>
      <c r="AL79" s="509">
        <v>-1</v>
      </c>
    </row>
    <row r="80" spans="1:38" ht="17.399999999999999" customHeight="1">
      <c r="A80" s="274">
        <v>3269</v>
      </c>
      <c r="B80" s="283" t="s">
        <v>23</v>
      </c>
      <c r="C80" s="283">
        <v>2</v>
      </c>
      <c r="D80" s="276">
        <v>7</v>
      </c>
      <c r="E80" s="261" t="s">
        <v>613</v>
      </c>
      <c r="F80" s="309" t="s">
        <v>14</v>
      </c>
      <c r="G80" s="510">
        <v>43461</v>
      </c>
      <c r="H80" s="523">
        <v>43460</v>
      </c>
      <c r="I80" s="523" t="s">
        <v>705</v>
      </c>
      <c r="J80" s="512">
        <v>1</v>
      </c>
      <c r="K80" s="512">
        <v>2</v>
      </c>
      <c r="L80" s="514">
        <f t="shared" si="2"/>
        <v>18</v>
      </c>
      <c r="M80" s="524">
        <f t="shared" si="3"/>
        <v>0.36</v>
      </c>
      <c r="N80" s="514">
        <v>2</v>
      </c>
      <c r="O80" s="515">
        <v>43462</v>
      </c>
      <c r="P80" s="516">
        <v>-2</v>
      </c>
      <c r="Q80" s="517">
        <v>2</v>
      </c>
      <c r="R80" s="517">
        <v>2</v>
      </c>
      <c r="S80" s="518">
        <v>0</v>
      </c>
      <c r="T80" s="516">
        <v>1</v>
      </c>
      <c r="U80" s="517">
        <v>2</v>
      </c>
      <c r="V80" s="517">
        <v>2</v>
      </c>
      <c r="W80" s="517">
        <v>0</v>
      </c>
      <c r="X80" s="517">
        <v>1</v>
      </c>
      <c r="Y80" s="517">
        <v>2</v>
      </c>
      <c r="Z80" s="518">
        <v>-1</v>
      </c>
      <c r="AA80" s="516">
        <v>1</v>
      </c>
      <c r="AB80" s="517">
        <v>0</v>
      </c>
      <c r="AC80" s="517">
        <v>2</v>
      </c>
      <c r="AD80" s="517">
        <v>3</v>
      </c>
      <c r="AE80" s="518">
        <v>-3</v>
      </c>
      <c r="AF80" s="516">
        <v>3</v>
      </c>
      <c r="AG80" s="517">
        <v>1</v>
      </c>
      <c r="AH80" s="517">
        <v>0</v>
      </c>
      <c r="AI80" s="517">
        <v>2</v>
      </c>
      <c r="AJ80" s="517">
        <v>0</v>
      </c>
      <c r="AK80" s="517">
        <v>1</v>
      </c>
      <c r="AL80" s="518">
        <v>-1</v>
      </c>
    </row>
    <row r="81" spans="1:38" ht="17.399999999999999" customHeight="1">
      <c r="A81" s="274">
        <v>3270</v>
      </c>
      <c r="B81" s="283" t="s">
        <v>23</v>
      </c>
      <c r="C81" s="283">
        <v>3</v>
      </c>
      <c r="D81" s="276">
        <v>7</v>
      </c>
      <c r="E81" s="261" t="s">
        <v>614</v>
      </c>
      <c r="F81" s="309" t="s">
        <v>615</v>
      </c>
      <c r="G81" s="510">
        <v>43461</v>
      </c>
      <c r="H81" s="523"/>
      <c r="I81" s="523" t="s">
        <v>208</v>
      </c>
      <c r="J81" s="512">
        <v>1</v>
      </c>
      <c r="K81" s="512">
        <v>2</v>
      </c>
      <c r="L81" s="514">
        <f t="shared" si="2"/>
        <v>0</v>
      </c>
      <c r="M81" s="524">
        <f t="shared" si="3"/>
        <v>0</v>
      </c>
      <c r="N81" s="514">
        <v>1</v>
      </c>
      <c r="O81" s="515">
        <v>43462</v>
      </c>
      <c r="P81" s="516"/>
      <c r="Q81" s="517"/>
      <c r="R81" s="517"/>
      <c r="S81" s="518"/>
      <c r="T81" s="516"/>
      <c r="U81" s="517"/>
      <c r="V81" s="517"/>
      <c r="W81" s="517"/>
      <c r="X81" s="517"/>
      <c r="Y81" s="517"/>
      <c r="Z81" s="518"/>
      <c r="AA81" s="516"/>
      <c r="AB81" s="517"/>
      <c r="AC81" s="517"/>
      <c r="AD81" s="517"/>
      <c r="AE81" s="518"/>
      <c r="AF81" s="516"/>
      <c r="AG81" s="517"/>
      <c r="AH81" s="517"/>
      <c r="AI81" s="517"/>
      <c r="AJ81" s="517"/>
      <c r="AK81" s="517"/>
      <c r="AL81" s="518"/>
    </row>
    <row r="82" spans="1:38" ht="17.399999999999999" customHeight="1">
      <c r="A82" s="274">
        <v>3271</v>
      </c>
      <c r="B82" s="283" t="s">
        <v>23</v>
      </c>
      <c r="C82" s="283">
        <v>4</v>
      </c>
      <c r="D82" s="276">
        <v>7</v>
      </c>
      <c r="E82" s="261" t="s">
        <v>616</v>
      </c>
      <c r="F82" s="309" t="s">
        <v>689</v>
      </c>
      <c r="G82" s="510">
        <v>43461</v>
      </c>
      <c r="H82" s="523">
        <v>43450</v>
      </c>
      <c r="I82" s="523"/>
      <c r="J82" s="512">
        <v>1</v>
      </c>
      <c r="K82" s="512">
        <v>2</v>
      </c>
      <c r="L82" s="514">
        <f t="shared" si="2"/>
        <v>40</v>
      </c>
      <c r="M82" s="524">
        <f t="shared" si="3"/>
        <v>0.8</v>
      </c>
      <c r="N82" s="514" t="s">
        <v>34</v>
      </c>
      <c r="O82" s="515">
        <v>43462</v>
      </c>
      <c r="P82" s="516"/>
      <c r="Q82" s="517">
        <v>2</v>
      </c>
      <c r="R82" s="517">
        <v>2</v>
      </c>
      <c r="S82" s="518">
        <v>5</v>
      </c>
      <c r="T82" s="516">
        <v>2</v>
      </c>
      <c r="U82" s="517">
        <v>2</v>
      </c>
      <c r="V82" s="517">
        <v>2</v>
      </c>
      <c r="W82" s="517">
        <v>1</v>
      </c>
      <c r="X82" s="517">
        <v>1</v>
      </c>
      <c r="Y82" s="517">
        <v>2</v>
      </c>
      <c r="Z82" s="518">
        <v>0</v>
      </c>
      <c r="AA82" s="516">
        <v>2</v>
      </c>
      <c r="AB82" s="517">
        <v>0</v>
      </c>
      <c r="AC82" s="517">
        <v>3</v>
      </c>
      <c r="AD82" s="517">
        <v>5</v>
      </c>
      <c r="AE82" s="518">
        <v>-1</v>
      </c>
      <c r="AF82" s="516">
        <v>3</v>
      </c>
      <c r="AG82" s="517">
        <v>2</v>
      </c>
      <c r="AH82" s="517">
        <v>2</v>
      </c>
      <c r="AI82" s="517">
        <v>2</v>
      </c>
      <c r="AJ82" s="517">
        <v>1</v>
      </c>
      <c r="AK82" s="517">
        <v>2</v>
      </c>
      <c r="AL82" s="518">
        <v>0</v>
      </c>
    </row>
    <row r="83" spans="1:38" ht="17.399999999999999" customHeight="1">
      <c r="A83" s="274">
        <v>3272</v>
      </c>
      <c r="B83" s="283" t="s">
        <v>23</v>
      </c>
      <c r="C83" s="283">
        <v>5</v>
      </c>
      <c r="D83" s="276">
        <v>7</v>
      </c>
      <c r="E83" s="261" t="s">
        <v>617</v>
      </c>
      <c r="F83" s="309" t="s">
        <v>358</v>
      </c>
      <c r="G83" s="510">
        <v>43461</v>
      </c>
      <c r="H83" s="523"/>
      <c r="I83" s="523" t="s">
        <v>208</v>
      </c>
      <c r="J83" s="512">
        <v>1</v>
      </c>
      <c r="K83" s="512">
        <v>2</v>
      </c>
      <c r="L83" s="514">
        <f t="shared" si="2"/>
        <v>0</v>
      </c>
      <c r="M83" s="524">
        <f t="shared" si="3"/>
        <v>0</v>
      </c>
      <c r="N83" s="514">
        <v>1</v>
      </c>
      <c r="O83" s="515">
        <v>43462</v>
      </c>
      <c r="P83" s="516"/>
      <c r="Q83" s="517"/>
      <c r="R83" s="517"/>
      <c r="S83" s="518"/>
      <c r="T83" s="516"/>
      <c r="U83" s="517"/>
      <c r="V83" s="517"/>
      <c r="W83" s="517"/>
      <c r="X83" s="517"/>
      <c r="Y83" s="517"/>
      <c r="Z83" s="518"/>
      <c r="AA83" s="516"/>
      <c r="AB83" s="517"/>
      <c r="AC83" s="517"/>
      <c r="AD83" s="517"/>
      <c r="AE83" s="518"/>
      <c r="AF83" s="516"/>
      <c r="AG83" s="517"/>
      <c r="AH83" s="517"/>
      <c r="AI83" s="517"/>
      <c r="AJ83" s="517"/>
      <c r="AK83" s="517"/>
      <c r="AL83" s="518"/>
    </row>
    <row r="84" spans="1:38" ht="17.399999999999999" customHeight="1">
      <c r="A84" s="274">
        <v>3273</v>
      </c>
      <c r="B84" s="283" t="s">
        <v>23</v>
      </c>
      <c r="C84" s="283">
        <v>6</v>
      </c>
      <c r="D84" s="276">
        <v>8</v>
      </c>
      <c r="E84" s="261" t="s">
        <v>618</v>
      </c>
      <c r="F84" s="309" t="s">
        <v>690</v>
      </c>
      <c r="G84" s="510">
        <v>43461</v>
      </c>
      <c r="H84" s="523">
        <v>43459</v>
      </c>
      <c r="I84" s="523" t="s">
        <v>706</v>
      </c>
      <c r="J84" s="512">
        <v>1</v>
      </c>
      <c r="K84" s="512">
        <v>2</v>
      </c>
      <c r="L84" s="514">
        <f t="shared" si="2"/>
        <v>27</v>
      </c>
      <c r="M84" s="524">
        <f t="shared" si="3"/>
        <v>0.54</v>
      </c>
      <c r="N84" s="514" t="s">
        <v>31</v>
      </c>
      <c r="O84" s="515">
        <v>43462</v>
      </c>
      <c r="P84" s="516">
        <v>-5</v>
      </c>
      <c r="Q84" s="517">
        <v>0</v>
      </c>
      <c r="R84" s="517">
        <v>2</v>
      </c>
      <c r="S84" s="518">
        <v>0</v>
      </c>
      <c r="T84" s="516">
        <v>1</v>
      </c>
      <c r="U84" s="517">
        <v>2</v>
      </c>
      <c r="V84" s="517">
        <v>2</v>
      </c>
      <c r="W84" s="517">
        <v>1</v>
      </c>
      <c r="X84" s="517">
        <v>1</v>
      </c>
      <c r="Y84" s="517">
        <v>2</v>
      </c>
      <c r="Z84" s="518">
        <v>0</v>
      </c>
      <c r="AA84" s="516">
        <v>3</v>
      </c>
      <c r="AB84" s="517">
        <v>0</v>
      </c>
      <c r="AC84" s="517">
        <v>3</v>
      </c>
      <c r="AD84" s="517">
        <v>2</v>
      </c>
      <c r="AE84" s="518">
        <v>0</v>
      </c>
      <c r="AF84" s="516">
        <v>4</v>
      </c>
      <c r="AG84" s="517">
        <v>2</v>
      </c>
      <c r="AH84" s="517">
        <v>2</v>
      </c>
      <c r="AI84" s="517">
        <v>3</v>
      </c>
      <c r="AJ84" s="517">
        <v>1</v>
      </c>
      <c r="AK84" s="517">
        <v>2</v>
      </c>
      <c r="AL84" s="518">
        <v>-1</v>
      </c>
    </row>
    <row r="85" spans="1:38" ht="17.399999999999999" customHeight="1">
      <c r="A85" s="274">
        <v>3274</v>
      </c>
      <c r="B85" s="283" t="s">
        <v>23</v>
      </c>
      <c r="C85" s="283">
        <v>7</v>
      </c>
      <c r="D85" s="276">
        <v>13</v>
      </c>
      <c r="E85" s="261" t="s">
        <v>619</v>
      </c>
      <c r="F85" s="309" t="s">
        <v>567</v>
      </c>
      <c r="G85" s="510">
        <v>43461</v>
      </c>
      <c r="H85" s="523"/>
      <c r="I85" s="523" t="s">
        <v>208</v>
      </c>
      <c r="J85" s="512">
        <v>1</v>
      </c>
      <c r="K85" s="512">
        <v>2</v>
      </c>
      <c r="L85" s="514">
        <f t="shared" si="2"/>
        <v>0</v>
      </c>
      <c r="M85" s="524">
        <f t="shared" si="3"/>
        <v>0</v>
      </c>
      <c r="N85" s="514">
        <v>1</v>
      </c>
      <c r="O85" s="515">
        <v>43462</v>
      </c>
      <c r="P85" s="516"/>
      <c r="Q85" s="517"/>
      <c r="R85" s="517"/>
      <c r="S85" s="518"/>
      <c r="T85" s="516"/>
      <c r="U85" s="517"/>
      <c r="V85" s="517"/>
      <c r="W85" s="517"/>
      <c r="X85" s="517"/>
      <c r="Y85" s="517"/>
      <c r="Z85" s="518"/>
      <c r="AA85" s="516"/>
      <c r="AB85" s="517"/>
      <c r="AC85" s="517"/>
      <c r="AD85" s="517"/>
      <c r="AE85" s="518"/>
      <c r="AF85" s="516"/>
      <c r="AG85" s="517"/>
      <c r="AH85" s="517"/>
      <c r="AI85" s="517"/>
      <c r="AJ85" s="517"/>
      <c r="AK85" s="517"/>
      <c r="AL85" s="518"/>
    </row>
    <row r="86" spans="1:38" ht="17.399999999999999" customHeight="1">
      <c r="A86" s="274">
        <v>3275</v>
      </c>
      <c r="B86" s="283" t="s">
        <v>23</v>
      </c>
      <c r="C86" s="283">
        <v>8</v>
      </c>
      <c r="D86" s="276">
        <v>7</v>
      </c>
      <c r="E86" s="261" t="s">
        <v>620</v>
      </c>
      <c r="F86" s="309" t="s">
        <v>47</v>
      </c>
      <c r="G86" s="510">
        <v>43461</v>
      </c>
      <c r="H86" s="523"/>
      <c r="I86" s="523" t="s">
        <v>208</v>
      </c>
      <c r="J86" s="512">
        <v>1</v>
      </c>
      <c r="K86" s="512">
        <v>2</v>
      </c>
      <c r="L86" s="514">
        <f t="shared" si="2"/>
        <v>0</v>
      </c>
      <c r="M86" s="524">
        <f t="shared" si="3"/>
        <v>0</v>
      </c>
      <c r="N86" s="514">
        <v>1</v>
      </c>
      <c r="O86" s="515">
        <v>43462</v>
      </c>
      <c r="P86" s="516"/>
      <c r="Q86" s="517"/>
      <c r="R86" s="517"/>
      <c r="S86" s="518"/>
      <c r="T86" s="516"/>
      <c r="U86" s="517"/>
      <c r="V86" s="517"/>
      <c r="W86" s="517"/>
      <c r="X86" s="517"/>
      <c r="Y86" s="517"/>
      <c r="Z86" s="518"/>
      <c r="AA86" s="516"/>
      <c r="AB86" s="517"/>
      <c r="AC86" s="517"/>
      <c r="AD86" s="517"/>
      <c r="AE86" s="518"/>
      <c r="AF86" s="516"/>
      <c r="AG86" s="517"/>
      <c r="AH86" s="517"/>
      <c r="AI86" s="517"/>
      <c r="AJ86" s="517"/>
      <c r="AK86" s="517"/>
      <c r="AL86" s="518"/>
    </row>
    <row r="87" spans="1:38" ht="17.399999999999999" customHeight="1">
      <c r="A87" s="274">
        <v>3276</v>
      </c>
      <c r="B87" s="283" t="s">
        <v>23</v>
      </c>
      <c r="C87" s="283">
        <v>9</v>
      </c>
      <c r="D87" s="276">
        <v>7</v>
      </c>
      <c r="E87" s="261" t="s">
        <v>150</v>
      </c>
      <c r="F87" s="309" t="s">
        <v>79</v>
      </c>
      <c r="G87" s="510">
        <v>43461</v>
      </c>
      <c r="H87" s="523">
        <v>43451</v>
      </c>
      <c r="I87" s="523" t="s">
        <v>745</v>
      </c>
      <c r="J87" s="512">
        <v>1</v>
      </c>
      <c r="K87" s="512">
        <v>2</v>
      </c>
      <c r="L87" s="514">
        <f t="shared" si="2"/>
        <v>22</v>
      </c>
      <c r="M87" s="524">
        <f t="shared" si="3"/>
        <v>0.44</v>
      </c>
      <c r="N87" s="514">
        <v>2</v>
      </c>
      <c r="O87" s="515">
        <v>43462</v>
      </c>
      <c r="P87" s="516">
        <v>-6</v>
      </c>
      <c r="Q87" s="517">
        <v>0</v>
      </c>
      <c r="R87" s="517">
        <v>2</v>
      </c>
      <c r="S87" s="518">
        <v>5</v>
      </c>
      <c r="T87" s="516">
        <v>3</v>
      </c>
      <c r="U87" s="517">
        <v>1</v>
      </c>
      <c r="V87" s="517">
        <v>2</v>
      </c>
      <c r="W87" s="517">
        <v>1</v>
      </c>
      <c r="X87" s="517">
        <v>1</v>
      </c>
      <c r="Y87" s="517">
        <v>2</v>
      </c>
      <c r="Z87" s="518">
        <v>0</v>
      </c>
      <c r="AA87" s="516">
        <v>2</v>
      </c>
      <c r="AB87" s="517">
        <v>0</v>
      </c>
      <c r="AC87" s="517">
        <v>1</v>
      </c>
      <c r="AD87" s="517">
        <v>0</v>
      </c>
      <c r="AE87" s="518">
        <v>-1</v>
      </c>
      <c r="AF87" s="516">
        <v>2</v>
      </c>
      <c r="AG87" s="517">
        <v>2</v>
      </c>
      <c r="AH87" s="517">
        <v>2</v>
      </c>
      <c r="AI87" s="517">
        <v>3</v>
      </c>
      <c r="AJ87" s="517">
        <v>0</v>
      </c>
      <c r="AK87" s="517">
        <v>1</v>
      </c>
      <c r="AL87" s="518">
        <v>-1</v>
      </c>
    </row>
    <row r="88" spans="1:38" ht="17.399999999999999" customHeight="1">
      <c r="A88" s="274">
        <v>3277</v>
      </c>
      <c r="B88" s="283" t="s">
        <v>23</v>
      </c>
      <c r="C88" s="283">
        <v>10</v>
      </c>
      <c r="D88" s="276">
        <v>13</v>
      </c>
      <c r="E88" s="261" t="s">
        <v>621</v>
      </c>
      <c r="F88" s="309" t="s">
        <v>100</v>
      </c>
      <c r="G88" s="510">
        <v>43461</v>
      </c>
      <c r="H88" s="523"/>
      <c r="I88" s="523" t="s">
        <v>208</v>
      </c>
      <c r="J88" s="512">
        <v>1</v>
      </c>
      <c r="K88" s="512">
        <v>2</v>
      </c>
      <c r="L88" s="514">
        <f t="shared" si="2"/>
        <v>0</v>
      </c>
      <c r="M88" s="524">
        <f t="shared" si="3"/>
        <v>0</v>
      </c>
      <c r="N88" s="514">
        <v>1</v>
      </c>
      <c r="O88" s="515">
        <v>43462</v>
      </c>
      <c r="P88" s="516"/>
      <c r="Q88" s="517"/>
      <c r="R88" s="517"/>
      <c r="S88" s="518"/>
      <c r="T88" s="516"/>
      <c r="U88" s="517"/>
      <c r="V88" s="517"/>
      <c r="W88" s="517"/>
      <c r="X88" s="517"/>
      <c r="Y88" s="517"/>
      <c r="Z88" s="518"/>
      <c r="AA88" s="516"/>
      <c r="AB88" s="517"/>
      <c r="AC88" s="517"/>
      <c r="AD88" s="517"/>
      <c r="AE88" s="518"/>
      <c r="AF88" s="516"/>
      <c r="AG88" s="517"/>
      <c r="AH88" s="517"/>
      <c r="AI88" s="517"/>
      <c r="AJ88" s="517"/>
      <c r="AK88" s="517"/>
      <c r="AL88" s="518"/>
    </row>
    <row r="89" spans="1:38" ht="17.399999999999999" customHeight="1">
      <c r="A89" s="274">
        <v>3278</v>
      </c>
      <c r="B89" s="283" t="s">
        <v>23</v>
      </c>
      <c r="C89" s="283">
        <v>11</v>
      </c>
      <c r="D89" s="276">
        <v>8</v>
      </c>
      <c r="E89" s="261" t="s">
        <v>426</v>
      </c>
      <c r="F89" s="309" t="s">
        <v>68</v>
      </c>
      <c r="G89" s="510">
        <v>43461</v>
      </c>
      <c r="H89" s="523">
        <v>43450</v>
      </c>
      <c r="I89" s="523" t="s">
        <v>730</v>
      </c>
      <c r="J89" s="512">
        <v>1</v>
      </c>
      <c r="K89" s="512">
        <v>2</v>
      </c>
      <c r="L89" s="514">
        <f>SUM(P89:AL89)</f>
        <v>30</v>
      </c>
      <c r="M89" s="524">
        <f>L89/$L$2</f>
        <v>0.6</v>
      </c>
      <c r="N89" s="514">
        <v>3</v>
      </c>
      <c r="O89" s="515">
        <v>43462</v>
      </c>
      <c r="P89" s="516"/>
      <c r="Q89" s="517">
        <v>2</v>
      </c>
      <c r="R89" s="517">
        <v>2</v>
      </c>
      <c r="S89" s="518">
        <v>5</v>
      </c>
      <c r="T89" s="516">
        <v>0</v>
      </c>
      <c r="U89" s="517">
        <v>3</v>
      </c>
      <c r="V89" s="517">
        <v>1</v>
      </c>
      <c r="W89" s="517">
        <v>1</v>
      </c>
      <c r="X89" s="517">
        <v>2</v>
      </c>
      <c r="Y89" s="517">
        <v>2</v>
      </c>
      <c r="Z89" s="518">
        <v>-5</v>
      </c>
      <c r="AA89" s="516">
        <v>3</v>
      </c>
      <c r="AB89" s="517">
        <v>3</v>
      </c>
      <c r="AC89" s="517">
        <v>0</v>
      </c>
      <c r="AD89" s="517">
        <v>0</v>
      </c>
      <c r="AE89" s="518">
        <v>-2</v>
      </c>
      <c r="AF89" s="516">
        <v>4</v>
      </c>
      <c r="AG89" s="517">
        <v>2</v>
      </c>
      <c r="AH89" s="517">
        <v>2</v>
      </c>
      <c r="AI89" s="517">
        <v>2</v>
      </c>
      <c r="AJ89" s="517">
        <v>1</v>
      </c>
      <c r="AK89" s="517">
        <v>2</v>
      </c>
      <c r="AL89" s="518">
        <v>0</v>
      </c>
    </row>
    <row r="90" spans="1:38" ht="17.399999999999999" customHeight="1">
      <c r="A90" s="274">
        <v>3279</v>
      </c>
      <c r="B90" s="283" t="s">
        <v>23</v>
      </c>
      <c r="C90" s="283">
        <v>12</v>
      </c>
      <c r="D90" s="276">
        <v>13</v>
      </c>
      <c r="E90" s="261" t="s">
        <v>622</v>
      </c>
      <c r="F90" s="309" t="s">
        <v>623</v>
      </c>
      <c r="G90" s="510">
        <v>43461</v>
      </c>
      <c r="H90" s="523"/>
      <c r="I90" s="523" t="s">
        <v>208</v>
      </c>
      <c r="J90" s="512">
        <v>1</v>
      </c>
      <c r="K90" s="512">
        <v>2</v>
      </c>
      <c r="L90" s="514">
        <f t="shared" si="2"/>
        <v>0</v>
      </c>
      <c r="M90" s="524">
        <f t="shared" si="3"/>
        <v>0</v>
      </c>
      <c r="N90" s="514">
        <v>1</v>
      </c>
      <c r="O90" s="515">
        <v>43462</v>
      </c>
      <c r="P90" s="516"/>
      <c r="Q90" s="517"/>
      <c r="R90" s="517"/>
      <c r="S90" s="518"/>
      <c r="T90" s="516"/>
      <c r="U90" s="517"/>
      <c r="V90" s="517"/>
      <c r="W90" s="517"/>
      <c r="X90" s="517"/>
      <c r="Y90" s="517"/>
      <c r="Z90" s="518"/>
      <c r="AA90" s="516"/>
      <c r="AB90" s="517"/>
      <c r="AC90" s="517"/>
      <c r="AD90" s="517"/>
      <c r="AE90" s="518"/>
      <c r="AF90" s="516"/>
      <c r="AG90" s="517"/>
      <c r="AH90" s="517"/>
      <c r="AI90" s="517"/>
      <c r="AJ90" s="517"/>
      <c r="AK90" s="517"/>
      <c r="AL90" s="518"/>
    </row>
    <row r="91" spans="1:38" ht="17.399999999999999" customHeight="1">
      <c r="A91" s="274">
        <v>3280</v>
      </c>
      <c r="B91" s="283" t="s">
        <v>23</v>
      </c>
      <c r="C91" s="283">
        <v>13</v>
      </c>
      <c r="D91" s="276">
        <v>7</v>
      </c>
      <c r="E91" s="261" t="s">
        <v>624</v>
      </c>
      <c r="F91" s="309" t="s">
        <v>385</v>
      </c>
      <c r="G91" s="510">
        <v>43461</v>
      </c>
      <c r="H91" s="523"/>
      <c r="I91" s="523" t="s">
        <v>208</v>
      </c>
      <c r="J91" s="512">
        <v>1</v>
      </c>
      <c r="K91" s="512">
        <v>2</v>
      </c>
      <c r="L91" s="514">
        <f t="shared" si="2"/>
        <v>0</v>
      </c>
      <c r="M91" s="524">
        <f t="shared" si="3"/>
        <v>0</v>
      </c>
      <c r="N91" s="514">
        <v>1</v>
      </c>
      <c r="O91" s="515">
        <v>43462</v>
      </c>
      <c r="P91" s="516"/>
      <c r="Q91" s="517"/>
      <c r="R91" s="517"/>
      <c r="S91" s="518"/>
      <c r="T91" s="516"/>
      <c r="U91" s="517"/>
      <c r="V91" s="517"/>
      <c r="W91" s="517"/>
      <c r="X91" s="517"/>
      <c r="Y91" s="517"/>
      <c r="Z91" s="518"/>
      <c r="AA91" s="516"/>
      <c r="AB91" s="517"/>
      <c r="AC91" s="517"/>
      <c r="AD91" s="517"/>
      <c r="AE91" s="518"/>
      <c r="AF91" s="516"/>
      <c r="AG91" s="517"/>
      <c r="AH91" s="517"/>
      <c r="AI91" s="517"/>
      <c r="AJ91" s="517"/>
      <c r="AK91" s="517"/>
      <c r="AL91" s="518"/>
    </row>
    <row r="92" spans="1:38" ht="17.399999999999999" customHeight="1">
      <c r="A92" s="274">
        <v>3281</v>
      </c>
      <c r="B92" s="283" t="s">
        <v>23</v>
      </c>
      <c r="C92" s="283">
        <v>14</v>
      </c>
      <c r="D92" s="276">
        <v>13</v>
      </c>
      <c r="E92" s="261" t="s">
        <v>625</v>
      </c>
      <c r="F92" s="309" t="s">
        <v>80</v>
      </c>
      <c r="G92" s="510">
        <v>43461</v>
      </c>
      <c r="H92" s="523"/>
      <c r="I92" s="523" t="s">
        <v>208</v>
      </c>
      <c r="J92" s="512">
        <v>1</v>
      </c>
      <c r="K92" s="512">
        <v>2</v>
      </c>
      <c r="L92" s="514">
        <f t="shared" si="2"/>
        <v>0</v>
      </c>
      <c r="M92" s="524">
        <f t="shared" si="3"/>
        <v>0</v>
      </c>
      <c r="N92" s="514">
        <v>1</v>
      </c>
      <c r="O92" s="515">
        <v>43462</v>
      </c>
      <c r="P92" s="516"/>
      <c r="Q92" s="517"/>
      <c r="R92" s="517"/>
      <c r="S92" s="518"/>
      <c r="T92" s="516"/>
      <c r="U92" s="517"/>
      <c r="V92" s="517"/>
      <c r="W92" s="517"/>
      <c r="X92" s="517"/>
      <c r="Y92" s="517"/>
      <c r="Z92" s="518"/>
      <c r="AA92" s="516"/>
      <c r="AB92" s="517"/>
      <c r="AC92" s="517"/>
      <c r="AD92" s="517"/>
      <c r="AE92" s="518"/>
      <c r="AF92" s="516"/>
      <c r="AG92" s="517"/>
      <c r="AH92" s="517"/>
      <c r="AI92" s="517"/>
      <c r="AJ92" s="517"/>
      <c r="AK92" s="517"/>
      <c r="AL92" s="518"/>
    </row>
    <row r="93" spans="1:38" ht="17.399999999999999" customHeight="1">
      <c r="A93" s="274">
        <v>3245</v>
      </c>
      <c r="B93" s="283" t="s">
        <v>23</v>
      </c>
      <c r="C93" s="283">
        <v>15</v>
      </c>
      <c r="D93" s="276">
        <v>13</v>
      </c>
      <c r="E93" s="261" t="s">
        <v>626</v>
      </c>
      <c r="F93" s="309" t="s">
        <v>674</v>
      </c>
      <c r="G93" s="510">
        <v>43461</v>
      </c>
      <c r="H93" s="523"/>
      <c r="I93" s="523" t="s">
        <v>208</v>
      </c>
      <c r="J93" s="512">
        <v>1</v>
      </c>
      <c r="K93" s="512">
        <v>2</v>
      </c>
      <c r="L93" s="514">
        <f t="shared" si="2"/>
        <v>0</v>
      </c>
      <c r="M93" s="524">
        <f t="shared" si="3"/>
        <v>0</v>
      </c>
      <c r="N93" s="514">
        <v>1</v>
      </c>
      <c r="O93" s="515">
        <v>43462</v>
      </c>
      <c r="P93" s="516"/>
      <c r="Q93" s="517"/>
      <c r="R93" s="517"/>
      <c r="S93" s="518"/>
      <c r="T93" s="516"/>
      <c r="U93" s="517"/>
      <c r="V93" s="517"/>
      <c r="W93" s="517"/>
      <c r="X93" s="517"/>
      <c r="Y93" s="517"/>
      <c r="Z93" s="518"/>
      <c r="AA93" s="516"/>
      <c r="AB93" s="517"/>
      <c r="AC93" s="517"/>
      <c r="AD93" s="517"/>
      <c r="AE93" s="518"/>
      <c r="AF93" s="516"/>
      <c r="AG93" s="517"/>
      <c r="AH93" s="517"/>
      <c r="AI93" s="517"/>
      <c r="AJ93" s="517"/>
      <c r="AK93" s="517"/>
      <c r="AL93" s="518"/>
    </row>
    <row r="94" spans="1:38" ht="17.399999999999999" customHeight="1">
      <c r="A94" s="274">
        <v>3282</v>
      </c>
      <c r="B94" s="283" t="s">
        <v>23</v>
      </c>
      <c r="C94" s="283">
        <v>16</v>
      </c>
      <c r="D94" s="276">
        <v>7</v>
      </c>
      <c r="E94" s="261" t="s">
        <v>627</v>
      </c>
      <c r="F94" s="309" t="s">
        <v>691</v>
      </c>
      <c r="G94" s="510">
        <v>43461</v>
      </c>
      <c r="H94" s="523"/>
      <c r="I94" s="523" t="s">
        <v>208</v>
      </c>
      <c r="J94" s="512">
        <v>1</v>
      </c>
      <c r="K94" s="512">
        <v>2</v>
      </c>
      <c r="L94" s="514">
        <f t="shared" ref="L94:L146" si="4">SUM(P94:AL94)</f>
        <v>0</v>
      </c>
      <c r="M94" s="524">
        <f t="shared" si="3"/>
        <v>0</v>
      </c>
      <c r="N94" s="514">
        <v>1</v>
      </c>
      <c r="O94" s="515">
        <v>43462</v>
      </c>
      <c r="P94" s="516"/>
      <c r="Q94" s="517"/>
      <c r="R94" s="517"/>
      <c r="S94" s="518"/>
      <c r="T94" s="516"/>
      <c r="U94" s="517"/>
      <c r="V94" s="517"/>
      <c r="W94" s="517"/>
      <c r="X94" s="517"/>
      <c r="Y94" s="517"/>
      <c r="Z94" s="518"/>
      <c r="AA94" s="516"/>
      <c r="AB94" s="517"/>
      <c r="AC94" s="517"/>
      <c r="AD94" s="517"/>
      <c r="AE94" s="518"/>
      <c r="AF94" s="516"/>
      <c r="AG94" s="517"/>
      <c r="AH94" s="517"/>
      <c r="AI94" s="517"/>
      <c r="AJ94" s="517"/>
      <c r="AK94" s="517"/>
      <c r="AL94" s="518"/>
    </row>
    <row r="95" spans="1:38" ht="17.399999999999999" customHeight="1">
      <c r="A95" s="274">
        <v>3283</v>
      </c>
      <c r="B95" s="283" t="s">
        <v>23</v>
      </c>
      <c r="C95" s="283">
        <v>17</v>
      </c>
      <c r="D95" s="276">
        <v>8</v>
      </c>
      <c r="E95" s="261" t="s">
        <v>628</v>
      </c>
      <c r="F95" s="309" t="s">
        <v>2</v>
      </c>
      <c r="G95" s="510">
        <v>43461</v>
      </c>
      <c r="H95" s="523"/>
      <c r="I95" s="523" t="s">
        <v>208</v>
      </c>
      <c r="J95" s="512">
        <v>1</v>
      </c>
      <c r="K95" s="512">
        <v>2</v>
      </c>
      <c r="L95" s="514">
        <f>SUM(P95:AL95)</f>
        <v>0</v>
      </c>
      <c r="M95" s="524">
        <f>L95/$L$2</f>
        <v>0</v>
      </c>
      <c r="N95" s="514">
        <v>1</v>
      </c>
      <c r="O95" s="515">
        <v>43462</v>
      </c>
      <c r="P95" s="516"/>
      <c r="Q95" s="517"/>
      <c r="R95" s="517"/>
      <c r="S95" s="518"/>
      <c r="T95" s="516"/>
      <c r="U95" s="517"/>
      <c r="V95" s="517"/>
      <c r="W95" s="517"/>
      <c r="X95" s="517"/>
      <c r="Y95" s="517"/>
      <c r="Z95" s="518"/>
      <c r="AA95" s="516"/>
      <c r="AB95" s="517"/>
      <c r="AC95" s="517"/>
      <c r="AD95" s="517"/>
      <c r="AE95" s="518"/>
      <c r="AF95" s="516"/>
      <c r="AG95" s="517"/>
      <c r="AH95" s="517"/>
      <c r="AI95" s="517"/>
      <c r="AJ95" s="517"/>
      <c r="AK95" s="517"/>
      <c r="AL95" s="518"/>
    </row>
    <row r="96" spans="1:38" ht="17.399999999999999" customHeight="1">
      <c r="A96" s="274">
        <v>3284</v>
      </c>
      <c r="B96" s="283" t="s">
        <v>23</v>
      </c>
      <c r="C96" s="283">
        <v>18</v>
      </c>
      <c r="D96" s="276">
        <v>13</v>
      </c>
      <c r="E96" s="261" t="s">
        <v>629</v>
      </c>
      <c r="F96" s="309" t="s">
        <v>82</v>
      </c>
      <c r="G96" s="510">
        <v>43461</v>
      </c>
      <c r="H96" s="523"/>
      <c r="I96" s="523" t="s">
        <v>208</v>
      </c>
      <c r="J96" s="512">
        <v>1</v>
      </c>
      <c r="K96" s="512">
        <v>0.2</v>
      </c>
      <c r="L96" s="514">
        <f>SUM(P96:AL96)</f>
        <v>0</v>
      </c>
      <c r="M96" s="524">
        <f>L96/$L$2</f>
        <v>0</v>
      </c>
      <c r="N96" s="514">
        <v>1</v>
      </c>
      <c r="O96" s="515">
        <v>43462</v>
      </c>
      <c r="P96" s="516"/>
      <c r="Q96" s="517"/>
      <c r="R96" s="517"/>
      <c r="S96" s="518"/>
      <c r="T96" s="516"/>
      <c r="U96" s="517"/>
      <c r="V96" s="517"/>
      <c r="W96" s="517"/>
      <c r="X96" s="517"/>
      <c r="Y96" s="517"/>
      <c r="Z96" s="518"/>
      <c r="AA96" s="516"/>
      <c r="AB96" s="517"/>
      <c r="AC96" s="517"/>
      <c r="AD96" s="517"/>
      <c r="AE96" s="518"/>
      <c r="AF96" s="516"/>
      <c r="AG96" s="517"/>
      <c r="AH96" s="517"/>
      <c r="AI96" s="517"/>
      <c r="AJ96" s="517"/>
      <c r="AK96" s="517"/>
      <c r="AL96" s="518"/>
    </row>
    <row r="97" spans="1:38" ht="17.399999999999999" customHeight="1">
      <c r="A97" s="274">
        <v>3284</v>
      </c>
      <c r="B97" s="283" t="s">
        <v>23</v>
      </c>
      <c r="C97" s="283">
        <v>18</v>
      </c>
      <c r="D97" s="276">
        <v>13</v>
      </c>
      <c r="E97" s="261" t="s">
        <v>629</v>
      </c>
      <c r="F97" s="309" t="s">
        <v>82</v>
      </c>
      <c r="G97" s="510"/>
      <c r="H97" s="523">
        <v>43465</v>
      </c>
      <c r="I97" s="523" t="s">
        <v>753</v>
      </c>
      <c r="J97" s="512">
        <v>2</v>
      </c>
      <c r="K97" s="512">
        <v>1.8</v>
      </c>
      <c r="L97" s="514">
        <f>SUM(P97:AL97)</f>
        <v>18</v>
      </c>
      <c r="M97" s="524">
        <f>L97/$L$2</f>
        <v>0.36</v>
      </c>
      <c r="N97" s="514">
        <v>2</v>
      </c>
      <c r="O97" s="515">
        <v>43465</v>
      </c>
      <c r="P97" s="516"/>
      <c r="Q97" s="517">
        <v>2</v>
      </c>
      <c r="R97" s="517">
        <v>2</v>
      </c>
      <c r="S97" s="518">
        <v>5</v>
      </c>
      <c r="T97" s="516">
        <v>1</v>
      </c>
      <c r="U97" s="517">
        <v>2</v>
      </c>
      <c r="V97" s="517">
        <v>2</v>
      </c>
      <c r="W97" s="517">
        <v>1</v>
      </c>
      <c r="X97" s="517">
        <v>1</v>
      </c>
      <c r="Y97" s="517">
        <v>1</v>
      </c>
      <c r="Z97" s="518">
        <v>-6</v>
      </c>
      <c r="AA97" s="516">
        <v>2</v>
      </c>
      <c r="AB97" s="517">
        <v>2</v>
      </c>
      <c r="AC97" s="517">
        <v>3</v>
      </c>
      <c r="AD97" s="517">
        <v>5</v>
      </c>
      <c r="AE97" s="518">
        <v>-5</v>
      </c>
      <c r="AF97" s="516">
        <v>0</v>
      </c>
      <c r="AG97" s="517">
        <v>0</v>
      </c>
      <c r="AH97" s="517">
        <v>0</v>
      </c>
      <c r="AI97" s="517">
        <v>0</v>
      </c>
      <c r="AJ97" s="517">
        <v>0</v>
      </c>
      <c r="AK97" s="517">
        <v>0</v>
      </c>
      <c r="AL97" s="518">
        <v>0</v>
      </c>
    </row>
    <row r="98" spans="1:38" ht="17.399999999999999" customHeight="1">
      <c r="A98" s="274">
        <v>3285</v>
      </c>
      <c r="B98" s="283" t="s">
        <v>23</v>
      </c>
      <c r="C98" s="283">
        <v>19</v>
      </c>
      <c r="D98" s="276">
        <v>7</v>
      </c>
      <c r="E98" s="261" t="s">
        <v>630</v>
      </c>
      <c r="F98" s="309" t="s">
        <v>174</v>
      </c>
      <c r="G98" s="510">
        <v>43461</v>
      </c>
      <c r="H98" s="523">
        <v>43460</v>
      </c>
      <c r="I98" s="523"/>
      <c r="J98" s="512">
        <v>1</v>
      </c>
      <c r="K98" s="512">
        <v>2</v>
      </c>
      <c r="L98" s="514">
        <f t="shared" si="4"/>
        <v>38</v>
      </c>
      <c r="M98" s="524">
        <f t="shared" ref="M98:M146" si="5">L98/$L$2</f>
        <v>0.76</v>
      </c>
      <c r="N98" s="514">
        <v>4</v>
      </c>
      <c r="O98" s="515">
        <v>43462</v>
      </c>
      <c r="P98" s="516"/>
      <c r="Q98" s="517">
        <v>2</v>
      </c>
      <c r="R98" s="517">
        <v>2</v>
      </c>
      <c r="S98" s="518">
        <v>5</v>
      </c>
      <c r="T98" s="516">
        <v>2</v>
      </c>
      <c r="U98" s="517">
        <v>1</v>
      </c>
      <c r="V98" s="517">
        <v>2</v>
      </c>
      <c r="W98" s="517">
        <v>1</v>
      </c>
      <c r="X98" s="517">
        <v>1</v>
      </c>
      <c r="Y98" s="517">
        <v>2</v>
      </c>
      <c r="Z98" s="518">
        <v>0</v>
      </c>
      <c r="AA98" s="516">
        <v>3</v>
      </c>
      <c r="AB98" s="517">
        <v>0</v>
      </c>
      <c r="AC98" s="517">
        <v>2</v>
      </c>
      <c r="AD98" s="517">
        <v>4</v>
      </c>
      <c r="AE98" s="518">
        <v>-1</v>
      </c>
      <c r="AF98" s="516">
        <v>4</v>
      </c>
      <c r="AG98" s="517">
        <v>2</v>
      </c>
      <c r="AH98" s="517">
        <v>2</v>
      </c>
      <c r="AI98" s="517">
        <v>3</v>
      </c>
      <c r="AJ98" s="517">
        <v>1</v>
      </c>
      <c r="AK98" s="517">
        <v>2</v>
      </c>
      <c r="AL98" s="518">
        <v>-2</v>
      </c>
    </row>
    <row r="99" spans="1:38" ht="17.399999999999999" customHeight="1">
      <c r="A99" s="274">
        <v>3286</v>
      </c>
      <c r="B99" s="283" t="s">
        <v>23</v>
      </c>
      <c r="C99" s="283">
        <v>20</v>
      </c>
      <c r="D99" s="276">
        <v>7</v>
      </c>
      <c r="E99" s="261" t="s">
        <v>631</v>
      </c>
      <c r="F99" s="309" t="s">
        <v>400</v>
      </c>
      <c r="G99" s="510">
        <v>43461</v>
      </c>
      <c r="H99" s="523"/>
      <c r="I99" s="523" t="s">
        <v>208</v>
      </c>
      <c r="J99" s="512">
        <v>1</v>
      </c>
      <c r="K99" s="512">
        <v>2</v>
      </c>
      <c r="L99" s="514">
        <f t="shared" si="4"/>
        <v>0</v>
      </c>
      <c r="M99" s="524">
        <f t="shared" si="5"/>
        <v>0</v>
      </c>
      <c r="N99" s="514">
        <v>1</v>
      </c>
      <c r="O99" s="515">
        <v>43462</v>
      </c>
      <c r="P99" s="516"/>
      <c r="Q99" s="517"/>
      <c r="R99" s="517"/>
      <c r="S99" s="518"/>
      <c r="T99" s="516"/>
      <c r="U99" s="517"/>
      <c r="V99" s="517"/>
      <c r="W99" s="517"/>
      <c r="X99" s="517"/>
      <c r="Y99" s="517"/>
      <c r="Z99" s="518"/>
      <c r="AA99" s="516"/>
      <c r="AB99" s="517"/>
      <c r="AC99" s="517"/>
      <c r="AD99" s="517"/>
      <c r="AE99" s="518"/>
      <c r="AF99" s="516"/>
      <c r="AG99" s="517"/>
      <c r="AH99" s="517"/>
      <c r="AI99" s="517"/>
      <c r="AJ99" s="517"/>
      <c r="AK99" s="517"/>
      <c r="AL99" s="518"/>
    </row>
    <row r="100" spans="1:38" ht="17.399999999999999" customHeight="1">
      <c r="A100" s="274">
        <v>3287</v>
      </c>
      <c r="B100" s="283" t="s">
        <v>23</v>
      </c>
      <c r="C100" s="283">
        <v>21</v>
      </c>
      <c r="D100" s="276">
        <v>8</v>
      </c>
      <c r="E100" s="261" t="s">
        <v>632</v>
      </c>
      <c r="F100" s="309" t="s">
        <v>692</v>
      </c>
      <c r="G100" s="510">
        <v>43461</v>
      </c>
      <c r="H100" s="523">
        <v>43460</v>
      </c>
      <c r="I100" s="523" t="s">
        <v>731</v>
      </c>
      <c r="J100" s="512">
        <v>1</v>
      </c>
      <c r="K100" s="512">
        <v>2</v>
      </c>
      <c r="L100" s="514">
        <f t="shared" si="4"/>
        <v>1</v>
      </c>
      <c r="M100" s="524">
        <f t="shared" si="5"/>
        <v>0.02</v>
      </c>
      <c r="N100" s="514">
        <v>1</v>
      </c>
      <c r="O100" s="515">
        <v>43462</v>
      </c>
      <c r="P100" s="516">
        <v>-3</v>
      </c>
      <c r="Q100" s="517">
        <v>2</v>
      </c>
      <c r="R100" s="517">
        <v>2</v>
      </c>
      <c r="S100" s="518">
        <v>0</v>
      </c>
      <c r="T100" s="516">
        <v>0</v>
      </c>
      <c r="U100" s="517">
        <v>0</v>
      </c>
      <c r="V100" s="517">
        <v>0</v>
      </c>
      <c r="W100" s="517">
        <v>0</v>
      </c>
      <c r="X100" s="517">
        <v>0</v>
      </c>
      <c r="Y100" s="517">
        <v>0</v>
      </c>
      <c r="Z100" s="518">
        <v>0</v>
      </c>
      <c r="AA100" s="516">
        <v>0</v>
      </c>
      <c r="AB100" s="517">
        <v>0</v>
      </c>
      <c r="AC100" s="517">
        <v>0</v>
      </c>
      <c r="AD100" s="517">
        <v>0</v>
      </c>
      <c r="AE100" s="518">
        <v>0</v>
      </c>
      <c r="AF100" s="516">
        <v>0</v>
      </c>
      <c r="AG100" s="517">
        <v>0</v>
      </c>
      <c r="AH100" s="517">
        <v>0</v>
      </c>
      <c r="AI100" s="517">
        <v>0</v>
      </c>
      <c r="AJ100" s="517">
        <v>0</v>
      </c>
      <c r="AK100" s="517">
        <v>0</v>
      </c>
      <c r="AL100" s="518">
        <v>0</v>
      </c>
    </row>
    <row r="101" spans="1:38" ht="17.399999999999999" customHeight="1">
      <c r="A101" s="274">
        <v>3288</v>
      </c>
      <c r="B101" s="283" t="s">
        <v>23</v>
      </c>
      <c r="C101" s="283">
        <v>22</v>
      </c>
      <c r="D101" s="276">
        <v>7</v>
      </c>
      <c r="E101" s="261" t="s">
        <v>633</v>
      </c>
      <c r="F101" s="309" t="s">
        <v>351</v>
      </c>
      <c r="G101" s="510">
        <v>43461</v>
      </c>
      <c r="H101" s="523"/>
      <c r="I101" s="523" t="s">
        <v>208</v>
      </c>
      <c r="J101" s="512">
        <v>1</v>
      </c>
      <c r="K101" s="512">
        <v>1.75</v>
      </c>
      <c r="L101" s="514">
        <f t="shared" si="4"/>
        <v>0</v>
      </c>
      <c r="M101" s="524">
        <f t="shared" si="5"/>
        <v>0</v>
      </c>
      <c r="N101" s="514">
        <v>1</v>
      </c>
      <c r="O101" s="515">
        <v>43462</v>
      </c>
      <c r="P101" s="516"/>
      <c r="Q101" s="517"/>
      <c r="R101" s="517"/>
      <c r="S101" s="518"/>
      <c r="T101" s="516"/>
      <c r="U101" s="517"/>
      <c r="V101" s="517"/>
      <c r="W101" s="517"/>
      <c r="X101" s="517"/>
      <c r="Y101" s="517"/>
      <c r="Z101" s="518"/>
      <c r="AA101" s="516"/>
      <c r="AB101" s="517"/>
      <c r="AC101" s="517"/>
      <c r="AD101" s="517"/>
      <c r="AE101" s="518"/>
      <c r="AF101" s="516"/>
      <c r="AG101" s="517"/>
      <c r="AH101" s="517"/>
      <c r="AI101" s="517"/>
      <c r="AJ101" s="517"/>
      <c r="AK101" s="517"/>
      <c r="AL101" s="518"/>
    </row>
    <row r="102" spans="1:38" ht="17.399999999999999" customHeight="1">
      <c r="A102" s="274">
        <v>3288</v>
      </c>
      <c r="B102" s="283" t="s">
        <v>23</v>
      </c>
      <c r="C102" s="283">
        <v>22</v>
      </c>
      <c r="D102" s="276">
        <v>7</v>
      </c>
      <c r="E102" s="261" t="s">
        <v>633</v>
      </c>
      <c r="F102" s="309" t="s">
        <v>351</v>
      </c>
      <c r="G102" s="510"/>
      <c r="H102" s="523">
        <v>43472</v>
      </c>
      <c r="I102" s="523" t="s">
        <v>756</v>
      </c>
      <c r="J102" s="512">
        <v>2</v>
      </c>
      <c r="K102" s="512">
        <v>0.25</v>
      </c>
      <c r="L102" s="514">
        <f t="shared" si="4"/>
        <v>1</v>
      </c>
      <c r="M102" s="524">
        <f t="shared" si="5"/>
        <v>0.02</v>
      </c>
      <c r="N102" s="514">
        <v>1</v>
      </c>
      <c r="O102" s="515">
        <v>43474</v>
      </c>
      <c r="P102" s="516">
        <v>-5</v>
      </c>
      <c r="Q102" s="517">
        <v>2</v>
      </c>
      <c r="R102" s="517">
        <v>2</v>
      </c>
      <c r="S102" s="518">
        <v>0</v>
      </c>
      <c r="T102" s="516">
        <v>3</v>
      </c>
      <c r="U102" s="517">
        <v>2</v>
      </c>
      <c r="V102" s="517">
        <v>2</v>
      </c>
      <c r="W102" s="517">
        <v>1</v>
      </c>
      <c r="X102" s="517">
        <v>1</v>
      </c>
      <c r="Y102" s="517">
        <v>0</v>
      </c>
      <c r="Z102" s="518">
        <v>-12</v>
      </c>
      <c r="AA102" s="516">
        <v>2</v>
      </c>
      <c r="AB102" s="517">
        <v>2</v>
      </c>
      <c r="AC102" s="517">
        <v>2</v>
      </c>
      <c r="AD102" s="517">
        <v>1</v>
      </c>
      <c r="AE102" s="518">
        <v>-3</v>
      </c>
      <c r="AF102" s="516">
        <v>1</v>
      </c>
      <c r="AG102" s="517">
        <v>0</v>
      </c>
      <c r="AH102" s="517">
        <v>0</v>
      </c>
      <c r="AI102" s="517">
        <v>0</v>
      </c>
      <c r="AJ102" s="517">
        <v>0</v>
      </c>
      <c r="AK102" s="517">
        <v>0</v>
      </c>
      <c r="AL102" s="518">
        <v>0</v>
      </c>
    </row>
    <row r="103" spans="1:38" ht="17.399999999999999" customHeight="1">
      <c r="A103" s="274">
        <v>3292</v>
      </c>
      <c r="B103" s="283" t="s">
        <v>23</v>
      </c>
      <c r="C103" s="283">
        <v>23</v>
      </c>
      <c r="D103" s="276">
        <v>8</v>
      </c>
      <c r="E103" s="261" t="s">
        <v>634</v>
      </c>
      <c r="F103" s="309" t="s">
        <v>0</v>
      </c>
      <c r="G103" s="510">
        <v>43461</v>
      </c>
      <c r="H103" s="523"/>
      <c r="I103" s="523" t="s">
        <v>208</v>
      </c>
      <c r="J103" s="512">
        <v>1</v>
      </c>
      <c r="K103" s="512">
        <v>2</v>
      </c>
      <c r="L103" s="514">
        <f t="shared" si="4"/>
        <v>0</v>
      </c>
      <c r="M103" s="524">
        <f t="shared" si="5"/>
        <v>0</v>
      </c>
      <c r="N103" s="514">
        <v>1</v>
      </c>
      <c r="O103" s="515">
        <v>43462</v>
      </c>
      <c r="P103" s="516"/>
      <c r="Q103" s="517"/>
      <c r="R103" s="517"/>
      <c r="S103" s="518"/>
      <c r="T103" s="516"/>
      <c r="U103" s="517"/>
      <c r="V103" s="517"/>
      <c r="W103" s="517"/>
      <c r="X103" s="517"/>
      <c r="Y103" s="517"/>
      <c r="Z103" s="518"/>
      <c r="AA103" s="516"/>
      <c r="AB103" s="517"/>
      <c r="AC103" s="517"/>
      <c r="AD103" s="517"/>
      <c r="AE103" s="518"/>
      <c r="AF103" s="516"/>
      <c r="AG103" s="517"/>
      <c r="AH103" s="517"/>
      <c r="AI103" s="517"/>
      <c r="AJ103" s="517"/>
      <c r="AK103" s="517"/>
      <c r="AL103" s="518"/>
    </row>
    <row r="104" spans="1:38" ht="17.399999999999999" customHeight="1">
      <c r="A104" s="274">
        <v>3289</v>
      </c>
      <c r="B104" s="283" t="s">
        <v>23</v>
      </c>
      <c r="C104" s="283">
        <v>24</v>
      </c>
      <c r="D104" s="276">
        <v>7</v>
      </c>
      <c r="E104" s="261" t="s">
        <v>439</v>
      </c>
      <c r="F104" s="309" t="s">
        <v>68</v>
      </c>
      <c r="G104" s="510">
        <v>43461</v>
      </c>
      <c r="H104" s="523">
        <v>43461</v>
      </c>
      <c r="I104" s="523" t="s">
        <v>732</v>
      </c>
      <c r="J104" s="512">
        <v>1</v>
      </c>
      <c r="K104" s="512">
        <v>2</v>
      </c>
      <c r="L104" s="514">
        <f t="shared" si="4"/>
        <v>19</v>
      </c>
      <c r="M104" s="524">
        <f t="shared" si="5"/>
        <v>0.38</v>
      </c>
      <c r="N104" s="514">
        <v>2</v>
      </c>
      <c r="O104" s="515">
        <v>43462</v>
      </c>
      <c r="P104" s="516">
        <v>-5</v>
      </c>
      <c r="Q104" s="517">
        <v>2</v>
      </c>
      <c r="R104" s="517">
        <v>2</v>
      </c>
      <c r="S104" s="518">
        <v>0</v>
      </c>
      <c r="T104" s="516">
        <v>1</v>
      </c>
      <c r="U104" s="517">
        <v>1</v>
      </c>
      <c r="V104" s="517">
        <v>1</v>
      </c>
      <c r="W104" s="517">
        <v>1</v>
      </c>
      <c r="X104" s="517">
        <v>1</v>
      </c>
      <c r="Y104" s="517">
        <v>2</v>
      </c>
      <c r="Z104" s="518">
        <v>0</v>
      </c>
      <c r="AA104" s="516">
        <v>2</v>
      </c>
      <c r="AB104" s="517">
        <v>1</v>
      </c>
      <c r="AC104" s="517">
        <v>3</v>
      </c>
      <c r="AD104" s="517">
        <v>2</v>
      </c>
      <c r="AE104" s="518">
        <v>-1</v>
      </c>
      <c r="AF104" s="516">
        <v>4</v>
      </c>
      <c r="AG104" s="517">
        <v>2</v>
      </c>
      <c r="AH104" s="517">
        <v>2</v>
      </c>
      <c r="AI104" s="517">
        <v>1</v>
      </c>
      <c r="AJ104" s="517">
        <v>1</v>
      </c>
      <c r="AK104" s="517">
        <v>1</v>
      </c>
      <c r="AL104" s="518">
        <v>-5</v>
      </c>
    </row>
    <row r="105" spans="1:38" ht="17.399999999999999" customHeight="1">
      <c r="A105" s="274">
        <v>3290</v>
      </c>
      <c r="B105" s="283" t="s">
        <v>23</v>
      </c>
      <c r="C105" s="283">
        <v>25</v>
      </c>
      <c r="D105" s="276">
        <v>13</v>
      </c>
      <c r="E105" s="261" t="s">
        <v>635</v>
      </c>
      <c r="F105" s="309" t="s">
        <v>16</v>
      </c>
      <c r="G105" s="510">
        <v>43461</v>
      </c>
      <c r="H105" s="523"/>
      <c r="I105" s="523" t="s">
        <v>208</v>
      </c>
      <c r="J105" s="512">
        <v>1</v>
      </c>
      <c r="K105" s="512">
        <v>0.2</v>
      </c>
      <c r="L105" s="514">
        <f>SUM(P105:AL105)</f>
        <v>0</v>
      </c>
      <c r="M105" s="524">
        <f>L105/$L$2</f>
        <v>0</v>
      </c>
      <c r="N105" s="514">
        <v>1</v>
      </c>
      <c r="O105" s="515">
        <v>43462</v>
      </c>
      <c r="P105" s="516"/>
      <c r="Q105" s="517"/>
      <c r="R105" s="517"/>
      <c r="S105" s="518"/>
      <c r="T105" s="516"/>
      <c r="U105" s="517"/>
      <c r="V105" s="517"/>
      <c r="W105" s="517"/>
      <c r="X105" s="517"/>
      <c r="Y105" s="517"/>
      <c r="Z105" s="518"/>
      <c r="AA105" s="516"/>
      <c r="AB105" s="517"/>
      <c r="AC105" s="517"/>
      <c r="AD105" s="517"/>
      <c r="AE105" s="518"/>
      <c r="AF105" s="516"/>
      <c r="AG105" s="517"/>
      <c r="AH105" s="517"/>
      <c r="AI105" s="517"/>
      <c r="AJ105" s="517"/>
      <c r="AK105" s="517"/>
      <c r="AL105" s="518"/>
    </row>
    <row r="106" spans="1:38" ht="17.399999999999999" customHeight="1">
      <c r="A106" s="274">
        <v>3290</v>
      </c>
      <c r="B106" s="283" t="s">
        <v>23</v>
      </c>
      <c r="C106" s="283">
        <v>25</v>
      </c>
      <c r="D106" s="276">
        <v>13</v>
      </c>
      <c r="E106" s="261" t="s">
        <v>635</v>
      </c>
      <c r="F106" s="309" t="s">
        <v>16</v>
      </c>
      <c r="G106" s="510"/>
      <c r="H106" s="523">
        <v>43465</v>
      </c>
      <c r="I106" s="523" t="s">
        <v>705</v>
      </c>
      <c r="J106" s="512">
        <v>2</v>
      </c>
      <c r="K106" s="512">
        <v>1.8</v>
      </c>
      <c r="L106" s="514">
        <f>SUM(P106:AL106)</f>
        <v>22</v>
      </c>
      <c r="M106" s="524">
        <f>L106/$L$2</f>
        <v>0.44</v>
      </c>
      <c r="N106" s="514">
        <v>2</v>
      </c>
      <c r="O106" s="515">
        <v>43465</v>
      </c>
      <c r="P106" s="516">
        <v>-5</v>
      </c>
      <c r="Q106" s="517">
        <v>2</v>
      </c>
      <c r="R106" s="517">
        <v>2</v>
      </c>
      <c r="S106" s="518">
        <v>0</v>
      </c>
      <c r="T106" s="516">
        <v>2</v>
      </c>
      <c r="U106" s="517">
        <v>2</v>
      </c>
      <c r="V106" s="517">
        <v>2</v>
      </c>
      <c r="W106" s="517">
        <v>1</v>
      </c>
      <c r="X106" s="517">
        <v>1</v>
      </c>
      <c r="Y106" s="517">
        <v>2</v>
      </c>
      <c r="Z106" s="518">
        <v>-5</v>
      </c>
      <c r="AA106" s="516">
        <v>3</v>
      </c>
      <c r="AB106" s="517">
        <v>2</v>
      </c>
      <c r="AC106" s="517">
        <v>3</v>
      </c>
      <c r="AD106" s="517">
        <v>4</v>
      </c>
      <c r="AE106" s="518">
        <v>-2</v>
      </c>
      <c r="AF106" s="516">
        <v>4</v>
      </c>
      <c r="AG106" s="517">
        <v>2</v>
      </c>
      <c r="AH106" s="517">
        <v>2</v>
      </c>
      <c r="AI106" s="517">
        <v>2</v>
      </c>
      <c r="AJ106" s="517">
        <v>1</v>
      </c>
      <c r="AK106" s="517">
        <v>2</v>
      </c>
      <c r="AL106" s="518">
        <v>-5</v>
      </c>
    </row>
    <row r="107" spans="1:38" ht="17.399999999999999" customHeight="1">
      <c r="A107" s="274">
        <v>3291</v>
      </c>
      <c r="B107" s="283" t="s">
        <v>23</v>
      </c>
      <c r="C107" s="283">
        <v>26</v>
      </c>
      <c r="D107" s="276">
        <v>8</v>
      </c>
      <c r="E107" s="261" t="s">
        <v>636</v>
      </c>
      <c r="F107" s="309" t="s">
        <v>186</v>
      </c>
      <c r="G107" s="510">
        <v>43461</v>
      </c>
      <c r="H107" s="523">
        <v>43461</v>
      </c>
      <c r="I107" s="523" t="s">
        <v>734</v>
      </c>
      <c r="J107" s="512">
        <v>1</v>
      </c>
      <c r="K107" s="512">
        <v>2</v>
      </c>
      <c r="L107" s="514">
        <f t="shared" si="4"/>
        <v>2</v>
      </c>
      <c r="M107" s="524">
        <f t="shared" si="5"/>
        <v>0.04</v>
      </c>
      <c r="N107" s="514">
        <v>1</v>
      </c>
      <c r="O107" s="515">
        <v>43462</v>
      </c>
      <c r="P107" s="516">
        <v>-5</v>
      </c>
      <c r="Q107" s="517">
        <v>2</v>
      </c>
      <c r="R107" s="517">
        <v>0</v>
      </c>
      <c r="S107" s="518">
        <v>0</v>
      </c>
      <c r="T107" s="516">
        <v>0</v>
      </c>
      <c r="U107" s="517">
        <v>0</v>
      </c>
      <c r="V107" s="517">
        <v>2</v>
      </c>
      <c r="W107" s="517">
        <v>0</v>
      </c>
      <c r="X107" s="517">
        <v>0</v>
      </c>
      <c r="Y107" s="517">
        <v>1</v>
      </c>
      <c r="Z107" s="518">
        <v>-1</v>
      </c>
      <c r="AA107" s="516">
        <v>3</v>
      </c>
      <c r="AB107" s="517">
        <v>0</v>
      </c>
      <c r="AC107" s="517">
        <v>0</v>
      </c>
      <c r="AD107" s="517">
        <v>0</v>
      </c>
      <c r="AE107" s="518"/>
      <c r="AF107" s="516"/>
      <c r="AG107" s="517"/>
      <c r="AH107" s="517"/>
      <c r="AI107" s="517"/>
      <c r="AJ107" s="517"/>
      <c r="AK107" s="517"/>
      <c r="AL107" s="518"/>
    </row>
    <row r="108" spans="1:38" ht="17.399999999999999" customHeight="1">
      <c r="A108" s="274">
        <v>3293</v>
      </c>
      <c r="B108" s="283" t="s">
        <v>23</v>
      </c>
      <c r="C108" s="283">
        <v>27</v>
      </c>
      <c r="D108" s="276">
        <v>8</v>
      </c>
      <c r="E108" s="261" t="s">
        <v>583</v>
      </c>
      <c r="F108" s="309" t="s">
        <v>693</v>
      </c>
      <c r="G108" s="510">
        <v>43461</v>
      </c>
      <c r="H108" s="523"/>
      <c r="I108" s="523" t="s">
        <v>208</v>
      </c>
      <c r="J108" s="512">
        <v>1</v>
      </c>
      <c r="K108" s="512">
        <v>2</v>
      </c>
      <c r="L108" s="514">
        <f t="shared" si="4"/>
        <v>0</v>
      </c>
      <c r="M108" s="524">
        <f t="shared" si="5"/>
        <v>0</v>
      </c>
      <c r="N108" s="514">
        <v>1</v>
      </c>
      <c r="O108" s="515">
        <v>43462</v>
      </c>
      <c r="P108" s="516"/>
      <c r="Q108" s="517"/>
      <c r="R108" s="517"/>
      <c r="S108" s="518"/>
      <c r="T108" s="516"/>
      <c r="U108" s="517"/>
      <c r="V108" s="517"/>
      <c r="W108" s="517"/>
      <c r="X108" s="517"/>
      <c r="Y108" s="517"/>
      <c r="Z108" s="518"/>
      <c r="AA108" s="516"/>
      <c r="AB108" s="517"/>
      <c r="AC108" s="517"/>
      <c r="AD108" s="517"/>
      <c r="AE108" s="518"/>
      <c r="AF108" s="516"/>
      <c r="AG108" s="517"/>
      <c r="AH108" s="517"/>
      <c r="AI108" s="517"/>
      <c r="AJ108" s="517"/>
      <c r="AK108" s="517"/>
      <c r="AL108" s="518"/>
    </row>
    <row r="109" spans="1:38" ht="17.399999999999999" customHeight="1">
      <c r="A109" s="274">
        <v>3295</v>
      </c>
      <c r="B109" s="283" t="s">
        <v>23</v>
      </c>
      <c r="C109" s="283">
        <v>29</v>
      </c>
      <c r="D109" s="276">
        <v>13</v>
      </c>
      <c r="E109" s="261" t="s">
        <v>60</v>
      </c>
      <c r="F109" s="309" t="s">
        <v>148</v>
      </c>
      <c r="G109" s="510">
        <v>43461</v>
      </c>
      <c r="H109" s="523"/>
      <c r="I109" s="523" t="s">
        <v>208</v>
      </c>
      <c r="J109" s="512">
        <v>1</v>
      </c>
      <c r="K109" s="512">
        <v>2</v>
      </c>
      <c r="L109" s="514">
        <f t="shared" si="4"/>
        <v>0</v>
      </c>
      <c r="M109" s="524">
        <f t="shared" si="5"/>
        <v>0</v>
      </c>
      <c r="N109" s="514">
        <v>1</v>
      </c>
      <c r="O109" s="515">
        <v>43462</v>
      </c>
      <c r="P109" s="516"/>
      <c r="Q109" s="517"/>
      <c r="R109" s="517"/>
      <c r="S109" s="518"/>
      <c r="T109" s="516"/>
      <c r="U109" s="517"/>
      <c r="V109" s="517"/>
      <c r="W109" s="517"/>
      <c r="X109" s="517"/>
      <c r="Y109" s="517"/>
      <c r="Z109" s="518"/>
      <c r="AA109" s="516"/>
      <c r="AB109" s="517"/>
      <c r="AC109" s="517"/>
      <c r="AD109" s="517"/>
      <c r="AE109" s="518"/>
      <c r="AF109" s="516"/>
      <c r="AG109" s="517"/>
      <c r="AH109" s="517"/>
      <c r="AI109" s="517"/>
      <c r="AJ109" s="517"/>
      <c r="AK109" s="517"/>
      <c r="AL109" s="518"/>
    </row>
    <row r="110" spans="1:38" ht="17.399999999999999" customHeight="1">
      <c r="A110" s="274">
        <v>3296</v>
      </c>
      <c r="B110" s="283" t="s">
        <v>23</v>
      </c>
      <c r="C110" s="283">
        <v>30</v>
      </c>
      <c r="D110" s="276">
        <v>13</v>
      </c>
      <c r="E110" s="261" t="s">
        <v>637</v>
      </c>
      <c r="F110" s="309" t="s">
        <v>0</v>
      </c>
      <c r="G110" s="510">
        <v>43461</v>
      </c>
      <c r="H110" s="523">
        <v>43451</v>
      </c>
      <c r="I110" s="523" t="s">
        <v>733</v>
      </c>
      <c r="J110" s="512">
        <v>1</v>
      </c>
      <c r="K110" s="512">
        <v>2</v>
      </c>
      <c r="L110" s="514">
        <f t="shared" si="4"/>
        <v>21</v>
      </c>
      <c r="M110" s="524">
        <f t="shared" si="5"/>
        <v>0.42</v>
      </c>
      <c r="N110" s="514">
        <v>2</v>
      </c>
      <c r="O110" s="515">
        <v>43462</v>
      </c>
      <c r="P110" s="516">
        <v>-5</v>
      </c>
      <c r="Q110" s="517">
        <v>2</v>
      </c>
      <c r="R110" s="517">
        <v>2</v>
      </c>
      <c r="S110" s="518">
        <v>0</v>
      </c>
      <c r="T110" s="516">
        <v>3</v>
      </c>
      <c r="U110" s="517">
        <v>1</v>
      </c>
      <c r="V110" s="517">
        <v>2</v>
      </c>
      <c r="W110" s="517">
        <v>1</v>
      </c>
      <c r="X110" s="517">
        <v>2</v>
      </c>
      <c r="Y110" s="517">
        <v>2</v>
      </c>
      <c r="Z110" s="518">
        <v>-5</v>
      </c>
      <c r="AA110" s="516">
        <v>3</v>
      </c>
      <c r="AB110" s="517">
        <v>2</v>
      </c>
      <c r="AC110" s="517">
        <v>3</v>
      </c>
      <c r="AD110" s="517">
        <v>4</v>
      </c>
      <c r="AE110" s="518">
        <v>-4</v>
      </c>
      <c r="AF110" s="516">
        <v>3</v>
      </c>
      <c r="AG110" s="517">
        <v>2</v>
      </c>
      <c r="AH110" s="517">
        <v>1</v>
      </c>
      <c r="AI110" s="517">
        <v>2</v>
      </c>
      <c r="AJ110" s="517">
        <v>1</v>
      </c>
      <c r="AK110" s="517">
        <v>2</v>
      </c>
      <c r="AL110" s="518">
        <v>-3</v>
      </c>
    </row>
    <row r="111" spans="1:38" ht="17.399999999999999" customHeight="1">
      <c r="A111" s="274">
        <v>3298</v>
      </c>
      <c r="B111" s="283" t="s">
        <v>23</v>
      </c>
      <c r="C111" s="283">
        <v>31</v>
      </c>
      <c r="D111" s="276">
        <v>8</v>
      </c>
      <c r="E111" s="261" t="s">
        <v>638</v>
      </c>
      <c r="F111" s="309" t="s">
        <v>639</v>
      </c>
      <c r="G111" s="510">
        <v>43461</v>
      </c>
      <c r="H111" s="523"/>
      <c r="I111" s="523" t="s">
        <v>208</v>
      </c>
      <c r="J111" s="512">
        <v>1</v>
      </c>
      <c r="K111" s="512">
        <v>2</v>
      </c>
      <c r="L111" s="514">
        <f t="shared" si="4"/>
        <v>0</v>
      </c>
      <c r="M111" s="524">
        <f t="shared" si="5"/>
        <v>0</v>
      </c>
      <c r="N111" s="514">
        <v>1</v>
      </c>
      <c r="O111" s="515">
        <v>43462</v>
      </c>
      <c r="P111" s="516"/>
      <c r="Q111" s="517"/>
      <c r="R111" s="517"/>
      <c r="S111" s="518"/>
      <c r="T111" s="516"/>
      <c r="U111" s="517"/>
      <c r="V111" s="517"/>
      <c r="W111" s="517"/>
      <c r="X111" s="517"/>
      <c r="Y111" s="517"/>
      <c r="Z111" s="518"/>
      <c r="AA111" s="516"/>
      <c r="AB111" s="517"/>
      <c r="AC111" s="517"/>
      <c r="AD111" s="517"/>
      <c r="AE111" s="518"/>
      <c r="AF111" s="516"/>
      <c r="AG111" s="517"/>
      <c r="AH111" s="517"/>
      <c r="AI111" s="517"/>
      <c r="AJ111" s="517"/>
      <c r="AK111" s="517"/>
      <c r="AL111" s="518"/>
    </row>
    <row r="112" spans="1:38" ht="17.399999999999999" customHeight="1" thickBot="1">
      <c r="A112" s="288">
        <v>3297</v>
      </c>
      <c r="B112" s="297" t="s">
        <v>23</v>
      </c>
      <c r="C112" s="297">
        <v>32</v>
      </c>
      <c r="D112" s="290">
        <v>8</v>
      </c>
      <c r="E112" s="263" t="s">
        <v>640</v>
      </c>
      <c r="F112" s="312" t="s">
        <v>68</v>
      </c>
      <c r="G112" s="525">
        <v>43461</v>
      </c>
      <c r="H112" s="526"/>
      <c r="I112" s="526" t="s">
        <v>208</v>
      </c>
      <c r="J112" s="527">
        <v>1</v>
      </c>
      <c r="K112" s="527">
        <v>2</v>
      </c>
      <c r="L112" s="528">
        <f t="shared" si="4"/>
        <v>0</v>
      </c>
      <c r="M112" s="529">
        <f t="shared" si="5"/>
        <v>0</v>
      </c>
      <c r="N112" s="528">
        <v>1</v>
      </c>
      <c r="O112" s="530">
        <v>43462</v>
      </c>
      <c r="P112" s="531"/>
      <c r="Q112" s="532"/>
      <c r="R112" s="532"/>
      <c r="S112" s="533"/>
      <c r="T112" s="531"/>
      <c r="U112" s="532"/>
      <c r="V112" s="532"/>
      <c r="W112" s="532"/>
      <c r="X112" s="532"/>
      <c r="Y112" s="532"/>
      <c r="Z112" s="533"/>
      <c r="AA112" s="531"/>
      <c r="AB112" s="532"/>
      <c r="AC112" s="532"/>
      <c r="AD112" s="532"/>
      <c r="AE112" s="533"/>
      <c r="AF112" s="531"/>
      <c r="AG112" s="532"/>
      <c r="AH112" s="532"/>
      <c r="AI112" s="532"/>
      <c r="AJ112" s="532"/>
      <c r="AK112" s="532"/>
      <c r="AL112" s="533"/>
    </row>
    <row r="113" spans="1:38" ht="17.399999999999999" customHeight="1" thickTop="1">
      <c r="A113" s="264">
        <v>3299</v>
      </c>
      <c r="B113" s="265" t="s">
        <v>24</v>
      </c>
      <c r="C113" s="265">
        <v>1</v>
      </c>
      <c r="D113" s="266">
        <v>10</v>
      </c>
      <c r="E113" s="259" t="s">
        <v>112</v>
      </c>
      <c r="F113" s="307" t="s">
        <v>15</v>
      </c>
      <c r="G113" s="501">
        <v>43461</v>
      </c>
      <c r="H113" s="534"/>
      <c r="I113" s="534" t="s">
        <v>208</v>
      </c>
      <c r="J113" s="503">
        <v>1</v>
      </c>
      <c r="K113" s="503">
        <v>0.2</v>
      </c>
      <c r="L113" s="505">
        <f t="shared" ref="L113" si="6">SUM(P113:AL113)</f>
        <v>0</v>
      </c>
      <c r="M113" s="535">
        <f t="shared" ref="M113" si="7">L113/$L$2</f>
        <v>0</v>
      </c>
      <c r="N113" s="505">
        <v>1</v>
      </c>
      <c r="O113" s="506">
        <v>43462</v>
      </c>
      <c r="P113" s="507"/>
      <c r="Q113" s="508"/>
      <c r="R113" s="508"/>
      <c r="S113" s="509"/>
      <c r="T113" s="507"/>
      <c r="U113" s="508"/>
      <c r="V113" s="508"/>
      <c r="W113" s="508"/>
      <c r="X113" s="508"/>
      <c r="Y113" s="508"/>
      <c r="Z113" s="509"/>
      <c r="AA113" s="507"/>
      <c r="AB113" s="508"/>
      <c r="AC113" s="508"/>
      <c r="AD113" s="508"/>
      <c r="AE113" s="509"/>
      <c r="AF113" s="507"/>
      <c r="AG113" s="508"/>
      <c r="AH113" s="508"/>
      <c r="AI113" s="508"/>
      <c r="AJ113" s="508"/>
      <c r="AK113" s="508"/>
      <c r="AL113" s="509"/>
    </row>
    <row r="114" spans="1:38" ht="17.399999999999999" customHeight="1">
      <c r="A114" s="274">
        <v>3299</v>
      </c>
      <c r="B114" s="283" t="s">
        <v>24</v>
      </c>
      <c r="C114" s="283">
        <v>1</v>
      </c>
      <c r="D114" s="276">
        <v>10</v>
      </c>
      <c r="E114" s="261" t="s">
        <v>112</v>
      </c>
      <c r="F114" s="309" t="s">
        <v>15</v>
      </c>
      <c r="G114" s="510"/>
      <c r="H114" s="523">
        <v>43461</v>
      </c>
      <c r="I114" s="523" t="s">
        <v>739</v>
      </c>
      <c r="J114" s="512">
        <v>2</v>
      </c>
      <c r="K114" s="512">
        <v>1.8</v>
      </c>
      <c r="L114" s="514">
        <f t="shared" si="4"/>
        <v>15</v>
      </c>
      <c r="M114" s="524">
        <f t="shared" si="5"/>
        <v>0.3</v>
      </c>
      <c r="N114" s="514">
        <v>1</v>
      </c>
      <c r="O114" s="515">
        <v>43462</v>
      </c>
      <c r="P114" s="516">
        <v>-10</v>
      </c>
      <c r="Q114" s="517">
        <v>2</v>
      </c>
      <c r="R114" s="517">
        <v>2</v>
      </c>
      <c r="S114" s="518">
        <v>3</v>
      </c>
      <c r="T114" s="516">
        <v>0</v>
      </c>
      <c r="U114" s="517">
        <v>2</v>
      </c>
      <c r="V114" s="517">
        <v>2</v>
      </c>
      <c r="W114" s="517">
        <v>1</v>
      </c>
      <c r="X114" s="517">
        <v>1</v>
      </c>
      <c r="Y114" s="517">
        <v>0</v>
      </c>
      <c r="Z114" s="518">
        <v>-10</v>
      </c>
      <c r="AA114" s="516">
        <v>3</v>
      </c>
      <c r="AB114" s="517">
        <v>3</v>
      </c>
      <c r="AC114" s="517">
        <v>3</v>
      </c>
      <c r="AD114" s="517">
        <v>5</v>
      </c>
      <c r="AE114" s="518">
        <v>-2</v>
      </c>
      <c r="AF114" s="516">
        <v>4</v>
      </c>
      <c r="AG114" s="517">
        <v>2</v>
      </c>
      <c r="AH114" s="517">
        <v>0</v>
      </c>
      <c r="AI114" s="517">
        <v>3</v>
      </c>
      <c r="AJ114" s="517">
        <v>1</v>
      </c>
      <c r="AK114" s="517">
        <v>2</v>
      </c>
      <c r="AL114" s="518">
        <v>-2</v>
      </c>
    </row>
    <row r="115" spans="1:38" ht="17.399999999999999" customHeight="1">
      <c r="A115" s="274">
        <v>3300</v>
      </c>
      <c r="B115" s="283" t="s">
        <v>24</v>
      </c>
      <c r="C115" s="283">
        <v>2</v>
      </c>
      <c r="D115" s="276">
        <v>9</v>
      </c>
      <c r="E115" s="261" t="s">
        <v>641</v>
      </c>
      <c r="F115" s="309" t="s">
        <v>694</v>
      </c>
      <c r="G115" s="510">
        <v>43461</v>
      </c>
      <c r="H115" s="523"/>
      <c r="I115" s="523" t="s">
        <v>208</v>
      </c>
      <c r="J115" s="512">
        <v>1</v>
      </c>
      <c r="K115" s="512">
        <v>2</v>
      </c>
      <c r="L115" s="514">
        <f>SUM(P115:AL115)</f>
        <v>0</v>
      </c>
      <c r="M115" s="524">
        <f>L115/$L$2</f>
        <v>0</v>
      </c>
      <c r="N115" s="514">
        <v>1</v>
      </c>
      <c r="O115" s="515">
        <v>43462</v>
      </c>
      <c r="P115" s="516"/>
      <c r="Q115" s="517"/>
      <c r="R115" s="517"/>
      <c r="S115" s="518"/>
      <c r="T115" s="516"/>
      <c r="U115" s="517"/>
      <c r="V115" s="517"/>
      <c r="W115" s="517"/>
      <c r="X115" s="517"/>
      <c r="Y115" s="517"/>
      <c r="Z115" s="518"/>
      <c r="AA115" s="516"/>
      <c r="AB115" s="517"/>
      <c r="AC115" s="517"/>
      <c r="AD115" s="517"/>
      <c r="AE115" s="518"/>
      <c r="AF115" s="516"/>
      <c r="AG115" s="517"/>
      <c r="AH115" s="517"/>
      <c r="AI115" s="517"/>
      <c r="AJ115" s="517"/>
      <c r="AK115" s="517"/>
      <c r="AL115" s="518"/>
    </row>
    <row r="116" spans="1:38" ht="17.399999999999999" customHeight="1">
      <c r="A116" s="274">
        <v>3301</v>
      </c>
      <c r="B116" s="283" t="s">
        <v>24</v>
      </c>
      <c r="C116" s="283">
        <v>3</v>
      </c>
      <c r="D116" s="276">
        <v>9</v>
      </c>
      <c r="E116" s="287" t="s">
        <v>642</v>
      </c>
      <c r="F116" s="310" t="s">
        <v>128</v>
      </c>
      <c r="G116" s="510">
        <v>43461</v>
      </c>
      <c r="H116" s="523">
        <v>43460</v>
      </c>
      <c r="I116" s="523"/>
      <c r="J116" s="512">
        <v>1</v>
      </c>
      <c r="K116" s="512">
        <v>2</v>
      </c>
      <c r="L116" s="514">
        <f t="shared" si="4"/>
        <v>38</v>
      </c>
      <c r="M116" s="524">
        <f t="shared" si="5"/>
        <v>0.76</v>
      </c>
      <c r="N116" s="514">
        <v>4</v>
      </c>
      <c r="O116" s="515">
        <v>43462</v>
      </c>
      <c r="P116" s="516"/>
      <c r="Q116" s="517">
        <v>2</v>
      </c>
      <c r="R116" s="517">
        <v>2</v>
      </c>
      <c r="S116" s="518">
        <v>5</v>
      </c>
      <c r="T116" s="516">
        <v>3</v>
      </c>
      <c r="U116" s="517">
        <v>3</v>
      </c>
      <c r="V116" s="517">
        <v>2</v>
      </c>
      <c r="W116" s="517">
        <v>1</v>
      </c>
      <c r="X116" s="517">
        <v>2</v>
      </c>
      <c r="Y116" s="517">
        <v>2</v>
      </c>
      <c r="Z116" s="518">
        <v>-1</v>
      </c>
      <c r="AA116" s="516">
        <v>3</v>
      </c>
      <c r="AB116" s="517">
        <v>0</v>
      </c>
      <c r="AC116" s="517">
        <v>0</v>
      </c>
      <c r="AD116" s="517">
        <v>0</v>
      </c>
      <c r="AE116" s="518">
        <v>0</v>
      </c>
      <c r="AF116" s="516">
        <v>4</v>
      </c>
      <c r="AG116" s="517">
        <v>2</v>
      </c>
      <c r="AH116" s="517">
        <v>2</v>
      </c>
      <c r="AI116" s="517">
        <v>3</v>
      </c>
      <c r="AJ116" s="517">
        <v>1</v>
      </c>
      <c r="AK116" s="517">
        <v>2</v>
      </c>
      <c r="AL116" s="518">
        <v>0</v>
      </c>
    </row>
    <row r="117" spans="1:38" ht="17.399999999999999" customHeight="1">
      <c r="A117" s="274">
        <v>3302</v>
      </c>
      <c r="B117" s="283" t="s">
        <v>24</v>
      </c>
      <c r="C117" s="283">
        <v>4</v>
      </c>
      <c r="D117" s="276">
        <v>10</v>
      </c>
      <c r="E117" s="261" t="s">
        <v>643</v>
      </c>
      <c r="F117" s="309" t="s">
        <v>14</v>
      </c>
      <c r="G117" s="510">
        <v>43461</v>
      </c>
      <c r="H117" s="523">
        <v>43459</v>
      </c>
      <c r="I117" s="523" t="s">
        <v>735</v>
      </c>
      <c r="J117" s="512">
        <v>1</v>
      </c>
      <c r="K117" s="512">
        <v>2</v>
      </c>
      <c r="L117" s="514">
        <f t="shared" si="4"/>
        <v>11</v>
      </c>
      <c r="M117" s="524">
        <f t="shared" si="5"/>
        <v>0.22</v>
      </c>
      <c r="N117" s="514">
        <v>1</v>
      </c>
      <c r="O117" s="515">
        <v>43462</v>
      </c>
      <c r="P117" s="516"/>
      <c r="Q117" s="517">
        <v>0</v>
      </c>
      <c r="R117" s="517">
        <v>2</v>
      </c>
      <c r="S117" s="518">
        <v>0</v>
      </c>
      <c r="T117" s="516">
        <v>0</v>
      </c>
      <c r="U117" s="517">
        <v>1</v>
      </c>
      <c r="V117" s="517">
        <v>2</v>
      </c>
      <c r="W117" s="517">
        <v>1</v>
      </c>
      <c r="X117" s="517">
        <v>1</v>
      </c>
      <c r="Y117" s="517">
        <v>2</v>
      </c>
      <c r="Z117" s="518">
        <v>0</v>
      </c>
      <c r="AA117" s="516">
        <v>3</v>
      </c>
      <c r="AB117" s="517">
        <v>0</v>
      </c>
      <c r="AC117" s="517">
        <v>0</v>
      </c>
      <c r="AD117" s="517">
        <v>0</v>
      </c>
      <c r="AE117" s="518">
        <v>-1</v>
      </c>
      <c r="AF117" s="516"/>
      <c r="AG117" s="517"/>
      <c r="AH117" s="517"/>
      <c r="AI117" s="517"/>
      <c r="AJ117" s="517"/>
      <c r="AK117" s="517"/>
      <c r="AL117" s="518"/>
    </row>
    <row r="118" spans="1:38" ht="17.399999999999999" customHeight="1">
      <c r="A118" s="274">
        <v>3324</v>
      </c>
      <c r="B118" s="283" t="s">
        <v>24</v>
      </c>
      <c r="C118" s="283">
        <v>5</v>
      </c>
      <c r="D118" s="276">
        <v>10</v>
      </c>
      <c r="E118" s="261" t="s">
        <v>644</v>
      </c>
      <c r="F118" s="309" t="s">
        <v>19</v>
      </c>
      <c r="G118" s="510">
        <v>43461</v>
      </c>
      <c r="H118" s="523"/>
      <c r="I118" s="523" t="s">
        <v>208</v>
      </c>
      <c r="J118" s="512">
        <v>1</v>
      </c>
      <c r="K118" s="512">
        <v>2</v>
      </c>
      <c r="L118" s="514">
        <f t="shared" si="4"/>
        <v>0</v>
      </c>
      <c r="M118" s="524">
        <f t="shared" si="5"/>
        <v>0</v>
      </c>
      <c r="N118" s="514">
        <v>1</v>
      </c>
      <c r="O118" s="515">
        <v>43462</v>
      </c>
      <c r="P118" s="516"/>
      <c r="Q118" s="517"/>
      <c r="R118" s="517"/>
      <c r="S118" s="518"/>
      <c r="T118" s="516"/>
      <c r="U118" s="517"/>
      <c r="V118" s="517"/>
      <c r="W118" s="517"/>
      <c r="X118" s="517"/>
      <c r="Y118" s="517"/>
      <c r="Z118" s="518"/>
      <c r="AA118" s="516"/>
      <c r="AB118" s="517"/>
      <c r="AC118" s="517"/>
      <c r="AD118" s="517"/>
      <c r="AE118" s="518"/>
      <c r="AF118" s="516"/>
      <c r="AG118" s="517"/>
      <c r="AH118" s="517"/>
      <c r="AI118" s="517"/>
      <c r="AJ118" s="517"/>
      <c r="AK118" s="517"/>
      <c r="AL118" s="518"/>
    </row>
    <row r="119" spans="1:38" ht="17.399999999999999" customHeight="1">
      <c r="A119" s="274">
        <v>3303</v>
      </c>
      <c r="B119" s="283" t="s">
        <v>24</v>
      </c>
      <c r="C119" s="283">
        <v>6</v>
      </c>
      <c r="D119" s="276">
        <v>10</v>
      </c>
      <c r="E119" s="261" t="s">
        <v>645</v>
      </c>
      <c r="F119" s="309" t="s">
        <v>12</v>
      </c>
      <c r="G119" s="510">
        <v>43461</v>
      </c>
      <c r="H119" s="523">
        <v>43461</v>
      </c>
      <c r="I119" s="523"/>
      <c r="J119" s="512">
        <v>1</v>
      </c>
      <c r="K119" s="512">
        <v>2</v>
      </c>
      <c r="L119" s="514">
        <f>SUM(P119:AL119)</f>
        <v>42</v>
      </c>
      <c r="M119" s="524">
        <f>L119/$L$2</f>
        <v>0.84</v>
      </c>
      <c r="N119" s="514" t="s">
        <v>33</v>
      </c>
      <c r="O119" s="515">
        <v>43462</v>
      </c>
      <c r="P119" s="516"/>
      <c r="Q119" s="517">
        <v>2</v>
      </c>
      <c r="R119" s="517">
        <v>2</v>
      </c>
      <c r="S119" s="518">
        <v>5</v>
      </c>
      <c r="T119" s="516">
        <v>1</v>
      </c>
      <c r="U119" s="517">
        <v>1</v>
      </c>
      <c r="V119" s="517">
        <v>2</v>
      </c>
      <c r="W119" s="517">
        <v>1</v>
      </c>
      <c r="X119" s="517">
        <v>1</v>
      </c>
      <c r="Y119" s="517">
        <v>2</v>
      </c>
      <c r="Z119" s="518">
        <v>-1</v>
      </c>
      <c r="AA119" s="516">
        <v>3</v>
      </c>
      <c r="AB119" s="517">
        <v>3</v>
      </c>
      <c r="AC119" s="517">
        <v>3</v>
      </c>
      <c r="AD119" s="517">
        <v>3</v>
      </c>
      <c r="AE119" s="518">
        <v>0</v>
      </c>
      <c r="AF119" s="516">
        <v>4</v>
      </c>
      <c r="AG119" s="517">
        <v>2</v>
      </c>
      <c r="AH119" s="517">
        <v>2</v>
      </c>
      <c r="AI119" s="517">
        <v>3</v>
      </c>
      <c r="AJ119" s="517">
        <v>1</v>
      </c>
      <c r="AK119" s="517">
        <v>2</v>
      </c>
      <c r="AL119" s="518">
        <v>0</v>
      </c>
    </row>
    <row r="120" spans="1:38" ht="17.399999999999999" customHeight="1">
      <c r="A120" s="274">
        <v>3304</v>
      </c>
      <c r="B120" s="283" t="s">
        <v>24</v>
      </c>
      <c r="C120" s="283">
        <v>7</v>
      </c>
      <c r="D120" s="276">
        <v>10</v>
      </c>
      <c r="E120" s="261" t="s">
        <v>426</v>
      </c>
      <c r="F120" s="309" t="s">
        <v>15</v>
      </c>
      <c r="G120" s="510">
        <v>43461</v>
      </c>
      <c r="H120" s="523"/>
      <c r="I120" s="523" t="s">
        <v>208</v>
      </c>
      <c r="J120" s="512">
        <v>1</v>
      </c>
      <c r="K120" s="512">
        <v>0.2</v>
      </c>
      <c r="L120" s="514">
        <f t="shared" ref="L120" si="8">SUM(P120:AL120)</f>
        <v>0</v>
      </c>
      <c r="M120" s="524">
        <f t="shared" ref="M120" si="9">L120/$L$2</f>
        <v>0</v>
      </c>
      <c r="N120" s="514">
        <v>1</v>
      </c>
      <c r="O120" s="515">
        <v>43462</v>
      </c>
      <c r="P120" s="516"/>
      <c r="Q120" s="517"/>
      <c r="R120" s="517"/>
      <c r="S120" s="518"/>
      <c r="T120" s="516"/>
      <c r="U120" s="517"/>
      <c r="V120" s="517"/>
      <c r="W120" s="517"/>
      <c r="X120" s="517"/>
      <c r="Y120" s="517"/>
      <c r="Z120" s="518"/>
      <c r="AA120" s="516"/>
      <c r="AB120" s="517"/>
      <c r="AC120" s="517"/>
      <c r="AD120" s="517"/>
      <c r="AE120" s="518"/>
      <c r="AF120" s="516"/>
      <c r="AG120" s="517"/>
      <c r="AH120" s="517"/>
      <c r="AI120" s="517"/>
      <c r="AJ120" s="517"/>
      <c r="AK120" s="517"/>
      <c r="AL120" s="518"/>
    </row>
    <row r="121" spans="1:38" ht="17.399999999999999" customHeight="1">
      <c r="A121" s="274">
        <v>3304</v>
      </c>
      <c r="B121" s="283" t="s">
        <v>24</v>
      </c>
      <c r="C121" s="283">
        <v>7</v>
      </c>
      <c r="D121" s="276">
        <v>10</v>
      </c>
      <c r="E121" s="261" t="s">
        <v>426</v>
      </c>
      <c r="F121" s="309" t="s">
        <v>15</v>
      </c>
      <c r="G121" s="510"/>
      <c r="H121" s="523">
        <v>43461</v>
      </c>
      <c r="I121" s="523" t="s">
        <v>738</v>
      </c>
      <c r="J121" s="512">
        <v>2</v>
      </c>
      <c r="K121" s="512">
        <v>1.8</v>
      </c>
      <c r="L121" s="514">
        <f t="shared" si="4"/>
        <v>17</v>
      </c>
      <c r="M121" s="524">
        <f t="shared" si="5"/>
        <v>0.34</v>
      </c>
      <c r="N121" s="514">
        <v>1</v>
      </c>
      <c r="O121" s="515">
        <v>43462</v>
      </c>
      <c r="P121" s="516">
        <v>-10</v>
      </c>
      <c r="Q121" s="517">
        <v>2</v>
      </c>
      <c r="R121" s="517">
        <v>2</v>
      </c>
      <c r="S121" s="518">
        <v>5</v>
      </c>
      <c r="T121" s="516">
        <v>0</v>
      </c>
      <c r="U121" s="517">
        <v>2</v>
      </c>
      <c r="V121" s="517">
        <v>2</v>
      </c>
      <c r="W121" s="517">
        <v>1</v>
      </c>
      <c r="X121" s="517">
        <v>1</v>
      </c>
      <c r="Y121" s="517">
        <v>0</v>
      </c>
      <c r="Z121" s="518">
        <v>-10</v>
      </c>
      <c r="AA121" s="516">
        <v>3</v>
      </c>
      <c r="AB121" s="517">
        <v>3</v>
      </c>
      <c r="AC121" s="517">
        <v>3</v>
      </c>
      <c r="AD121" s="517">
        <v>5</v>
      </c>
      <c r="AE121" s="518">
        <v>-2</v>
      </c>
      <c r="AF121" s="516">
        <v>4</v>
      </c>
      <c r="AG121" s="517">
        <v>2</v>
      </c>
      <c r="AH121" s="517">
        <v>0</v>
      </c>
      <c r="AI121" s="517">
        <v>3</v>
      </c>
      <c r="AJ121" s="517">
        <v>1</v>
      </c>
      <c r="AK121" s="517">
        <v>2</v>
      </c>
      <c r="AL121" s="518">
        <v>-2</v>
      </c>
    </row>
    <row r="122" spans="1:38" ht="17.399999999999999" customHeight="1">
      <c r="A122" s="274">
        <v>3305</v>
      </c>
      <c r="B122" s="283" t="s">
        <v>24</v>
      </c>
      <c r="C122" s="283">
        <v>8</v>
      </c>
      <c r="D122" s="276">
        <v>9</v>
      </c>
      <c r="E122" s="261" t="s">
        <v>646</v>
      </c>
      <c r="F122" s="309" t="s">
        <v>685</v>
      </c>
      <c r="G122" s="510">
        <v>43461</v>
      </c>
      <c r="H122" s="523">
        <v>43460</v>
      </c>
      <c r="I122" s="523" t="s">
        <v>736</v>
      </c>
      <c r="J122" s="512">
        <v>1</v>
      </c>
      <c r="K122" s="512">
        <v>2</v>
      </c>
      <c r="L122" s="514">
        <f t="shared" si="4"/>
        <v>32</v>
      </c>
      <c r="M122" s="524">
        <f t="shared" si="5"/>
        <v>0.64</v>
      </c>
      <c r="N122" s="514" t="s">
        <v>32</v>
      </c>
      <c r="O122" s="515">
        <v>43462</v>
      </c>
      <c r="P122" s="516"/>
      <c r="Q122" s="517">
        <v>2</v>
      </c>
      <c r="R122" s="517">
        <v>2</v>
      </c>
      <c r="S122" s="518">
        <v>5</v>
      </c>
      <c r="T122" s="516">
        <v>1</v>
      </c>
      <c r="U122" s="517">
        <v>2</v>
      </c>
      <c r="V122" s="517">
        <v>2</v>
      </c>
      <c r="W122" s="517">
        <v>1</v>
      </c>
      <c r="X122" s="517">
        <v>1</v>
      </c>
      <c r="Y122" s="517">
        <v>2</v>
      </c>
      <c r="Z122" s="518">
        <v>-2</v>
      </c>
      <c r="AA122" s="516">
        <v>2</v>
      </c>
      <c r="AB122" s="517">
        <v>1</v>
      </c>
      <c r="AC122" s="517">
        <v>3</v>
      </c>
      <c r="AD122" s="517">
        <v>3</v>
      </c>
      <c r="AE122" s="518">
        <v>0</v>
      </c>
      <c r="AF122" s="516">
        <v>4</v>
      </c>
      <c r="AG122" s="517">
        <v>2</v>
      </c>
      <c r="AH122" s="517">
        <v>2</v>
      </c>
      <c r="AI122" s="517">
        <v>3</v>
      </c>
      <c r="AJ122" s="517">
        <v>1</v>
      </c>
      <c r="AK122" s="517">
        <v>2</v>
      </c>
      <c r="AL122" s="518">
        <v>-7</v>
      </c>
    </row>
    <row r="123" spans="1:38" ht="17.399999999999999" customHeight="1">
      <c r="A123" s="274">
        <v>3306</v>
      </c>
      <c r="B123" s="283" t="s">
        <v>24</v>
      </c>
      <c r="C123" s="283">
        <v>9</v>
      </c>
      <c r="D123" s="276">
        <v>10</v>
      </c>
      <c r="E123" s="261" t="s">
        <v>622</v>
      </c>
      <c r="F123" s="309" t="s">
        <v>385</v>
      </c>
      <c r="G123" s="510">
        <v>43461</v>
      </c>
      <c r="H123" s="523"/>
      <c r="I123" s="523" t="s">
        <v>208</v>
      </c>
      <c r="J123" s="512">
        <v>1</v>
      </c>
      <c r="K123" s="512">
        <v>0.2</v>
      </c>
      <c r="L123" s="514">
        <f t="shared" ref="L123" si="10">SUM(P123:AL123)</f>
        <v>0</v>
      </c>
      <c r="M123" s="524">
        <f t="shared" ref="M123" si="11">L123/$L$2</f>
        <v>0</v>
      </c>
      <c r="N123" s="514">
        <v>1</v>
      </c>
      <c r="O123" s="515">
        <v>43462</v>
      </c>
      <c r="P123" s="516"/>
      <c r="Q123" s="517"/>
      <c r="R123" s="517"/>
      <c r="S123" s="518"/>
      <c r="T123" s="516"/>
      <c r="U123" s="517"/>
      <c r="V123" s="517"/>
      <c r="W123" s="517"/>
      <c r="X123" s="517"/>
      <c r="Y123" s="517"/>
      <c r="Z123" s="518"/>
      <c r="AA123" s="516"/>
      <c r="AB123" s="517"/>
      <c r="AC123" s="517"/>
      <c r="AD123" s="517"/>
      <c r="AE123" s="518"/>
      <c r="AF123" s="516"/>
      <c r="AG123" s="517"/>
      <c r="AH123" s="517"/>
      <c r="AI123" s="517"/>
      <c r="AJ123" s="517"/>
      <c r="AK123" s="517"/>
      <c r="AL123" s="518"/>
    </row>
    <row r="124" spans="1:38" ht="17.399999999999999" customHeight="1">
      <c r="A124" s="274">
        <v>3306</v>
      </c>
      <c r="B124" s="283" t="s">
        <v>24</v>
      </c>
      <c r="C124" s="283">
        <v>9</v>
      </c>
      <c r="D124" s="276">
        <v>10</v>
      </c>
      <c r="E124" s="261" t="s">
        <v>622</v>
      </c>
      <c r="F124" s="309" t="s">
        <v>385</v>
      </c>
      <c r="G124" s="510">
        <v>43461</v>
      </c>
      <c r="H124" s="523">
        <v>43461</v>
      </c>
      <c r="I124" s="523" t="s">
        <v>740</v>
      </c>
      <c r="J124" s="512">
        <v>2</v>
      </c>
      <c r="K124" s="512">
        <v>1.8</v>
      </c>
      <c r="L124" s="514">
        <f t="shared" si="4"/>
        <v>12</v>
      </c>
      <c r="M124" s="524">
        <f t="shared" si="5"/>
        <v>0.24</v>
      </c>
      <c r="N124" s="514">
        <v>1</v>
      </c>
      <c r="O124" s="515">
        <v>43462</v>
      </c>
      <c r="P124" s="516">
        <v>-10</v>
      </c>
      <c r="Q124" s="517">
        <v>1</v>
      </c>
      <c r="R124" s="517">
        <v>1</v>
      </c>
      <c r="S124" s="518">
        <v>2</v>
      </c>
      <c r="T124" s="516">
        <v>0</v>
      </c>
      <c r="U124" s="517">
        <v>2</v>
      </c>
      <c r="V124" s="517">
        <v>2</v>
      </c>
      <c r="W124" s="517">
        <v>1</v>
      </c>
      <c r="X124" s="517">
        <v>1</v>
      </c>
      <c r="Y124" s="517">
        <v>0</v>
      </c>
      <c r="Z124" s="518">
        <v>-10</v>
      </c>
      <c r="AA124" s="516">
        <v>3</v>
      </c>
      <c r="AB124" s="517">
        <v>3</v>
      </c>
      <c r="AC124" s="517">
        <v>3</v>
      </c>
      <c r="AD124" s="517">
        <v>5</v>
      </c>
      <c r="AE124" s="518">
        <v>-2</v>
      </c>
      <c r="AF124" s="516">
        <v>4</v>
      </c>
      <c r="AG124" s="517">
        <v>2</v>
      </c>
      <c r="AH124" s="517">
        <v>0</v>
      </c>
      <c r="AI124" s="517">
        <v>3</v>
      </c>
      <c r="AJ124" s="517">
        <v>1</v>
      </c>
      <c r="AK124" s="517">
        <v>2</v>
      </c>
      <c r="AL124" s="518">
        <v>-2</v>
      </c>
    </row>
    <row r="125" spans="1:38" ht="17.399999999999999" customHeight="1">
      <c r="A125" s="274">
        <v>3307</v>
      </c>
      <c r="B125" s="283" t="s">
        <v>24</v>
      </c>
      <c r="C125" s="283">
        <v>10</v>
      </c>
      <c r="D125" s="276">
        <v>10</v>
      </c>
      <c r="E125" s="261" t="s">
        <v>647</v>
      </c>
      <c r="F125" s="309" t="s">
        <v>188</v>
      </c>
      <c r="G125" s="510">
        <v>43461</v>
      </c>
      <c r="H125" s="523"/>
      <c r="I125" s="523" t="s">
        <v>208</v>
      </c>
      <c r="J125" s="512">
        <v>1</v>
      </c>
      <c r="K125" s="512">
        <v>0.2</v>
      </c>
      <c r="L125" s="514">
        <f t="shared" ref="L125" si="12">SUM(P125:AL125)</f>
        <v>0</v>
      </c>
      <c r="M125" s="524">
        <f t="shared" ref="M125" si="13">L125/$L$2</f>
        <v>0</v>
      </c>
      <c r="N125" s="514">
        <v>1</v>
      </c>
      <c r="O125" s="515">
        <v>43462</v>
      </c>
      <c r="P125" s="516"/>
      <c r="Q125" s="517"/>
      <c r="R125" s="517"/>
      <c r="S125" s="518"/>
      <c r="T125" s="516"/>
      <c r="U125" s="517"/>
      <c r="V125" s="517"/>
      <c r="W125" s="517"/>
      <c r="X125" s="517"/>
      <c r="Y125" s="517"/>
      <c r="Z125" s="518"/>
      <c r="AA125" s="516"/>
      <c r="AB125" s="517"/>
      <c r="AC125" s="517"/>
      <c r="AD125" s="517"/>
      <c r="AE125" s="518"/>
      <c r="AF125" s="516"/>
      <c r="AG125" s="517"/>
      <c r="AH125" s="517"/>
      <c r="AI125" s="517"/>
      <c r="AJ125" s="517"/>
      <c r="AK125" s="517"/>
      <c r="AL125" s="518"/>
    </row>
    <row r="126" spans="1:38" ht="17.399999999999999" customHeight="1">
      <c r="A126" s="274">
        <v>3307</v>
      </c>
      <c r="B126" s="283" t="s">
        <v>24</v>
      </c>
      <c r="C126" s="283">
        <v>10</v>
      </c>
      <c r="D126" s="276">
        <v>10</v>
      </c>
      <c r="E126" s="261" t="s">
        <v>647</v>
      </c>
      <c r="F126" s="309" t="s">
        <v>188</v>
      </c>
      <c r="G126" s="510"/>
      <c r="H126" s="523">
        <v>43461</v>
      </c>
      <c r="I126" s="523" t="s">
        <v>740</v>
      </c>
      <c r="J126" s="512">
        <v>2</v>
      </c>
      <c r="K126" s="512">
        <v>1.8</v>
      </c>
      <c r="L126" s="514">
        <f t="shared" si="4"/>
        <v>10</v>
      </c>
      <c r="M126" s="524">
        <f t="shared" si="5"/>
        <v>0.2</v>
      </c>
      <c r="N126" s="514">
        <v>1</v>
      </c>
      <c r="O126" s="515">
        <v>43462</v>
      </c>
      <c r="P126" s="516">
        <v>-10</v>
      </c>
      <c r="Q126" s="517">
        <v>2</v>
      </c>
      <c r="R126" s="517">
        <v>2</v>
      </c>
      <c r="S126" s="518">
        <v>1</v>
      </c>
      <c r="T126" s="516">
        <v>0</v>
      </c>
      <c r="U126" s="517">
        <v>2</v>
      </c>
      <c r="V126" s="517">
        <v>2</v>
      </c>
      <c r="W126" s="517">
        <v>1</v>
      </c>
      <c r="X126" s="517">
        <v>1</v>
      </c>
      <c r="Y126" s="517">
        <v>0</v>
      </c>
      <c r="Z126" s="518">
        <v>-9</v>
      </c>
      <c r="AA126" s="516">
        <v>3</v>
      </c>
      <c r="AB126" s="517">
        <v>3</v>
      </c>
      <c r="AC126" s="517">
        <v>3</v>
      </c>
      <c r="AD126" s="517">
        <v>5</v>
      </c>
      <c r="AE126" s="518">
        <v>-6</v>
      </c>
      <c r="AF126" s="516">
        <v>4</v>
      </c>
      <c r="AG126" s="517">
        <v>2</v>
      </c>
      <c r="AH126" s="517">
        <v>0</v>
      </c>
      <c r="AI126" s="517">
        <v>3</v>
      </c>
      <c r="AJ126" s="517">
        <v>1</v>
      </c>
      <c r="AK126" s="517">
        <v>2</v>
      </c>
      <c r="AL126" s="518">
        <v>-2</v>
      </c>
    </row>
    <row r="127" spans="1:38" ht="17.399999999999999" customHeight="1">
      <c r="A127" s="274">
        <v>3308</v>
      </c>
      <c r="B127" s="283" t="s">
        <v>24</v>
      </c>
      <c r="C127" s="283">
        <v>11</v>
      </c>
      <c r="D127" s="276">
        <v>9</v>
      </c>
      <c r="E127" s="261" t="s">
        <v>648</v>
      </c>
      <c r="F127" s="309" t="s">
        <v>12</v>
      </c>
      <c r="G127" s="510">
        <v>43461</v>
      </c>
      <c r="H127" s="523"/>
      <c r="I127" s="523" t="s">
        <v>208</v>
      </c>
      <c r="J127" s="512">
        <v>1</v>
      </c>
      <c r="K127" s="512">
        <v>2</v>
      </c>
      <c r="L127" s="514">
        <f t="shared" si="4"/>
        <v>0</v>
      </c>
      <c r="M127" s="524">
        <f t="shared" si="5"/>
        <v>0</v>
      </c>
      <c r="N127" s="514">
        <v>1</v>
      </c>
      <c r="O127" s="515">
        <v>43462</v>
      </c>
      <c r="P127" s="516"/>
      <c r="Q127" s="517"/>
      <c r="R127" s="517"/>
      <c r="S127" s="518"/>
      <c r="T127" s="516"/>
      <c r="U127" s="517"/>
      <c r="V127" s="517"/>
      <c r="W127" s="517"/>
      <c r="X127" s="517"/>
      <c r="Y127" s="517"/>
      <c r="Z127" s="518"/>
      <c r="AA127" s="516"/>
      <c r="AB127" s="517"/>
      <c r="AC127" s="517"/>
      <c r="AD127" s="517"/>
      <c r="AE127" s="518"/>
      <c r="AF127" s="516"/>
      <c r="AG127" s="517"/>
      <c r="AH127" s="517"/>
      <c r="AI127" s="517"/>
      <c r="AJ127" s="517"/>
      <c r="AK127" s="517"/>
      <c r="AL127" s="518"/>
    </row>
    <row r="128" spans="1:38" ht="17.399999999999999" customHeight="1">
      <c r="A128" s="274">
        <v>3309</v>
      </c>
      <c r="B128" s="283" t="s">
        <v>24</v>
      </c>
      <c r="C128" s="283">
        <v>12</v>
      </c>
      <c r="D128" s="276">
        <v>9</v>
      </c>
      <c r="E128" s="261" t="s">
        <v>649</v>
      </c>
      <c r="F128" s="309" t="s">
        <v>347</v>
      </c>
      <c r="G128" s="510">
        <v>43461</v>
      </c>
      <c r="H128" s="523">
        <v>43451</v>
      </c>
      <c r="I128" s="523"/>
      <c r="J128" s="512">
        <v>1</v>
      </c>
      <c r="K128" s="512">
        <v>2</v>
      </c>
      <c r="L128" s="514">
        <f>SUM(P128:AL128)</f>
        <v>29</v>
      </c>
      <c r="M128" s="524">
        <f>L128/$L$2</f>
        <v>0.57999999999999996</v>
      </c>
      <c r="N128" s="514">
        <v>3</v>
      </c>
      <c r="O128" s="515">
        <v>43462</v>
      </c>
      <c r="P128" s="516"/>
      <c r="Q128" s="517">
        <v>2</v>
      </c>
      <c r="R128" s="517">
        <v>2</v>
      </c>
      <c r="S128" s="518">
        <v>5</v>
      </c>
      <c r="T128" s="516">
        <v>1</v>
      </c>
      <c r="U128" s="517">
        <v>2</v>
      </c>
      <c r="V128" s="517">
        <v>2</v>
      </c>
      <c r="W128" s="517">
        <v>1</v>
      </c>
      <c r="X128" s="517">
        <v>1</v>
      </c>
      <c r="Y128" s="517">
        <v>1</v>
      </c>
      <c r="Z128" s="518">
        <v>-1</v>
      </c>
      <c r="AA128" s="516">
        <v>3</v>
      </c>
      <c r="AB128" s="517">
        <v>1</v>
      </c>
      <c r="AC128" s="517">
        <v>2</v>
      </c>
      <c r="AD128" s="517">
        <v>4</v>
      </c>
      <c r="AE128" s="518">
        <v>-3</v>
      </c>
      <c r="AF128" s="516">
        <v>4</v>
      </c>
      <c r="AG128" s="517">
        <v>2</v>
      </c>
      <c r="AH128" s="517">
        <v>0</v>
      </c>
      <c r="AI128" s="517">
        <v>0</v>
      </c>
      <c r="AJ128" s="517">
        <v>1</v>
      </c>
      <c r="AK128" s="517">
        <v>0</v>
      </c>
      <c r="AL128" s="518">
        <v>-1</v>
      </c>
    </row>
    <row r="129" spans="1:38" ht="17.399999999999999" customHeight="1">
      <c r="A129" s="274">
        <v>3310</v>
      </c>
      <c r="B129" s="283" t="s">
        <v>24</v>
      </c>
      <c r="C129" s="283">
        <v>13</v>
      </c>
      <c r="D129" s="276">
        <v>9</v>
      </c>
      <c r="E129" s="287" t="s">
        <v>650</v>
      </c>
      <c r="F129" s="310" t="s">
        <v>9</v>
      </c>
      <c r="G129" s="510">
        <v>43461</v>
      </c>
      <c r="H129" s="523"/>
      <c r="I129" s="523" t="s">
        <v>208</v>
      </c>
      <c r="J129" s="512">
        <v>1</v>
      </c>
      <c r="K129" s="512">
        <v>2</v>
      </c>
      <c r="L129" s="514">
        <f t="shared" si="4"/>
        <v>0</v>
      </c>
      <c r="M129" s="524">
        <f t="shared" si="5"/>
        <v>0</v>
      </c>
      <c r="N129" s="514">
        <v>1</v>
      </c>
      <c r="O129" s="515">
        <v>43462</v>
      </c>
      <c r="P129" s="516"/>
      <c r="Q129" s="517"/>
      <c r="R129" s="517"/>
      <c r="S129" s="518"/>
      <c r="T129" s="516"/>
      <c r="U129" s="517"/>
      <c r="V129" s="517"/>
      <c r="W129" s="517"/>
      <c r="X129" s="517"/>
      <c r="Y129" s="517"/>
      <c r="Z129" s="518"/>
      <c r="AA129" s="516"/>
      <c r="AB129" s="517"/>
      <c r="AC129" s="517"/>
      <c r="AD129" s="517"/>
      <c r="AE129" s="518"/>
      <c r="AF129" s="516"/>
      <c r="AG129" s="517"/>
      <c r="AH129" s="517"/>
      <c r="AI129" s="517"/>
      <c r="AJ129" s="517"/>
      <c r="AK129" s="517"/>
      <c r="AL129" s="518"/>
    </row>
    <row r="130" spans="1:38" ht="17.399999999999999" customHeight="1">
      <c r="A130" s="274">
        <v>3311</v>
      </c>
      <c r="B130" s="283" t="s">
        <v>24</v>
      </c>
      <c r="C130" s="283">
        <v>14</v>
      </c>
      <c r="D130" s="276">
        <v>10</v>
      </c>
      <c r="E130" s="261" t="s">
        <v>650</v>
      </c>
      <c r="F130" s="309" t="s">
        <v>385</v>
      </c>
      <c r="G130" s="510">
        <v>43461</v>
      </c>
      <c r="H130" s="523">
        <v>43461</v>
      </c>
      <c r="I130" s="523" t="s">
        <v>737</v>
      </c>
      <c r="J130" s="512">
        <v>1</v>
      </c>
      <c r="K130" s="512">
        <v>2</v>
      </c>
      <c r="L130" s="514">
        <f>SUM(P130:AL130)</f>
        <v>18</v>
      </c>
      <c r="M130" s="524">
        <f>L130/$L$2</f>
        <v>0.36</v>
      </c>
      <c r="N130" s="514">
        <v>2</v>
      </c>
      <c r="O130" s="515">
        <v>43462</v>
      </c>
      <c r="P130" s="516">
        <v>-10</v>
      </c>
      <c r="Q130" s="517">
        <v>2</v>
      </c>
      <c r="R130" s="517">
        <v>2</v>
      </c>
      <c r="S130" s="518">
        <v>4</v>
      </c>
      <c r="T130" s="516">
        <v>0</v>
      </c>
      <c r="U130" s="517">
        <v>2</v>
      </c>
      <c r="V130" s="517">
        <v>2</v>
      </c>
      <c r="W130" s="517">
        <v>1</v>
      </c>
      <c r="X130" s="517">
        <v>1</v>
      </c>
      <c r="Y130" s="517">
        <v>2</v>
      </c>
      <c r="Z130" s="518">
        <v>-10</v>
      </c>
      <c r="AA130" s="516">
        <v>3</v>
      </c>
      <c r="AB130" s="517">
        <v>3</v>
      </c>
      <c r="AC130" s="517">
        <v>3</v>
      </c>
      <c r="AD130" s="517">
        <v>5</v>
      </c>
      <c r="AE130" s="518">
        <v>-2</v>
      </c>
      <c r="AF130" s="516">
        <v>4</v>
      </c>
      <c r="AG130" s="517">
        <v>2</v>
      </c>
      <c r="AH130" s="517">
        <v>0</v>
      </c>
      <c r="AI130" s="517">
        <v>3</v>
      </c>
      <c r="AJ130" s="517">
        <v>1</v>
      </c>
      <c r="AK130" s="517">
        <v>2</v>
      </c>
      <c r="AL130" s="518">
        <v>-2</v>
      </c>
    </row>
    <row r="131" spans="1:38" ht="17.399999999999999" customHeight="1">
      <c r="A131" s="274">
        <v>3312</v>
      </c>
      <c r="B131" s="283" t="s">
        <v>24</v>
      </c>
      <c r="C131" s="283">
        <v>15</v>
      </c>
      <c r="D131" s="276">
        <v>9</v>
      </c>
      <c r="E131" s="261" t="s">
        <v>439</v>
      </c>
      <c r="F131" s="309" t="s">
        <v>66</v>
      </c>
      <c r="G131" s="510">
        <v>43461</v>
      </c>
      <c r="H131" s="523"/>
      <c r="I131" s="523" t="s">
        <v>208</v>
      </c>
      <c r="J131" s="512">
        <v>1</v>
      </c>
      <c r="K131" s="512">
        <v>0.2</v>
      </c>
      <c r="L131" s="514">
        <f t="shared" ref="L131" si="14">SUM(P131:AL131)</f>
        <v>0</v>
      </c>
      <c r="M131" s="524">
        <f t="shared" ref="M131" si="15">L131/$L$2</f>
        <v>0</v>
      </c>
      <c r="N131" s="514">
        <v>1</v>
      </c>
      <c r="O131" s="515">
        <v>43462</v>
      </c>
      <c r="P131" s="516"/>
      <c r="Q131" s="517"/>
      <c r="R131" s="517"/>
      <c r="S131" s="518"/>
      <c r="T131" s="516"/>
      <c r="U131" s="517"/>
      <c r="V131" s="517"/>
      <c r="W131" s="517"/>
      <c r="X131" s="517"/>
      <c r="Y131" s="517"/>
      <c r="Z131" s="518"/>
      <c r="AA131" s="516"/>
      <c r="AB131" s="517"/>
      <c r="AC131" s="517"/>
      <c r="AD131" s="517"/>
      <c r="AE131" s="518"/>
      <c r="AF131" s="516"/>
      <c r="AG131" s="517"/>
      <c r="AH131" s="517"/>
      <c r="AI131" s="517"/>
      <c r="AJ131" s="517"/>
      <c r="AK131" s="517"/>
      <c r="AL131" s="518"/>
    </row>
    <row r="132" spans="1:38" ht="17.399999999999999" customHeight="1">
      <c r="A132" s="274">
        <v>3312</v>
      </c>
      <c r="B132" s="283" t="s">
        <v>24</v>
      </c>
      <c r="C132" s="283">
        <v>15</v>
      </c>
      <c r="D132" s="276">
        <v>9</v>
      </c>
      <c r="E132" s="261" t="s">
        <v>439</v>
      </c>
      <c r="F132" s="309" t="s">
        <v>66</v>
      </c>
      <c r="G132" s="510"/>
      <c r="H132" s="523">
        <v>43461</v>
      </c>
      <c r="I132" s="523" t="s">
        <v>744</v>
      </c>
      <c r="J132" s="512">
        <v>2</v>
      </c>
      <c r="K132" s="512">
        <v>1.8</v>
      </c>
      <c r="L132" s="514">
        <f t="shared" si="4"/>
        <v>23</v>
      </c>
      <c r="M132" s="524">
        <f t="shared" si="5"/>
        <v>0.46</v>
      </c>
      <c r="N132" s="514" t="s">
        <v>35</v>
      </c>
      <c r="O132" s="515">
        <v>43462</v>
      </c>
      <c r="P132" s="516">
        <v>-6</v>
      </c>
      <c r="Q132" s="517">
        <v>2</v>
      </c>
      <c r="R132" s="517">
        <v>2</v>
      </c>
      <c r="S132" s="518">
        <v>5</v>
      </c>
      <c r="T132" s="516">
        <v>3</v>
      </c>
      <c r="U132" s="517">
        <v>2</v>
      </c>
      <c r="V132" s="517">
        <v>2</v>
      </c>
      <c r="W132" s="517">
        <v>1</v>
      </c>
      <c r="X132" s="517">
        <v>1</v>
      </c>
      <c r="Y132" s="517">
        <v>2</v>
      </c>
      <c r="Z132" s="518">
        <v>0</v>
      </c>
      <c r="AA132" s="516">
        <v>2</v>
      </c>
      <c r="AB132" s="517">
        <v>0</v>
      </c>
      <c r="AC132" s="517">
        <v>1</v>
      </c>
      <c r="AD132" s="517">
        <v>0</v>
      </c>
      <c r="AE132" s="518">
        <v>-1</v>
      </c>
      <c r="AF132" s="516">
        <v>2</v>
      </c>
      <c r="AG132" s="517">
        <v>1</v>
      </c>
      <c r="AH132" s="517">
        <v>2</v>
      </c>
      <c r="AI132" s="517">
        <v>2</v>
      </c>
      <c r="AJ132" s="517">
        <v>1</v>
      </c>
      <c r="AK132" s="517">
        <v>1</v>
      </c>
      <c r="AL132" s="518">
        <v>-2</v>
      </c>
    </row>
    <row r="133" spans="1:38" ht="17.399999999999999" customHeight="1">
      <c r="A133" s="274">
        <v>3313</v>
      </c>
      <c r="B133" s="283" t="s">
        <v>24</v>
      </c>
      <c r="C133" s="283">
        <v>16</v>
      </c>
      <c r="D133" s="276">
        <v>9</v>
      </c>
      <c r="E133" s="261" t="s">
        <v>348</v>
      </c>
      <c r="F133" s="309" t="s">
        <v>16</v>
      </c>
      <c r="G133" s="510">
        <v>43461</v>
      </c>
      <c r="H133" s="523"/>
      <c r="I133" s="523" t="s">
        <v>208</v>
      </c>
      <c r="J133" s="512">
        <v>1</v>
      </c>
      <c r="K133" s="512">
        <v>0.2</v>
      </c>
      <c r="L133" s="514">
        <f>SUM(P133:AL133)</f>
        <v>0</v>
      </c>
      <c r="M133" s="524">
        <f>L133/$L$2</f>
        <v>0</v>
      </c>
      <c r="N133" s="514">
        <v>1</v>
      </c>
      <c r="O133" s="515">
        <v>43462</v>
      </c>
      <c r="P133" s="516"/>
      <c r="Q133" s="517"/>
      <c r="R133" s="517"/>
      <c r="S133" s="518"/>
      <c r="T133" s="516"/>
      <c r="U133" s="517"/>
      <c r="V133" s="517"/>
      <c r="W133" s="517"/>
      <c r="X133" s="517"/>
      <c r="Y133" s="517"/>
      <c r="Z133" s="518"/>
      <c r="AA133" s="516"/>
      <c r="AB133" s="517"/>
      <c r="AC133" s="517"/>
      <c r="AD133" s="517"/>
      <c r="AE133" s="518"/>
      <c r="AF133" s="516"/>
      <c r="AG133" s="517"/>
      <c r="AH133" s="517"/>
      <c r="AI133" s="517"/>
      <c r="AJ133" s="517"/>
      <c r="AK133" s="517"/>
      <c r="AL133" s="518"/>
    </row>
    <row r="134" spans="1:38" ht="17.399999999999999" customHeight="1">
      <c r="A134" s="274">
        <v>3313</v>
      </c>
      <c r="B134" s="283" t="s">
        <v>24</v>
      </c>
      <c r="C134" s="283">
        <v>16</v>
      </c>
      <c r="D134" s="276">
        <v>9</v>
      </c>
      <c r="E134" s="261" t="s">
        <v>348</v>
      </c>
      <c r="F134" s="309" t="s">
        <v>16</v>
      </c>
      <c r="G134" s="510"/>
      <c r="H134" s="523">
        <v>43462</v>
      </c>
      <c r="I134" s="523" t="s">
        <v>752</v>
      </c>
      <c r="J134" s="512">
        <v>2</v>
      </c>
      <c r="K134" s="512">
        <v>1.8</v>
      </c>
      <c r="L134" s="514">
        <f>SUM(P134:AL134)</f>
        <v>19</v>
      </c>
      <c r="M134" s="524">
        <f>L134/$L$2</f>
        <v>0.38</v>
      </c>
      <c r="N134" s="514">
        <v>2</v>
      </c>
      <c r="O134" s="515">
        <v>43465</v>
      </c>
      <c r="P134" s="516">
        <v>-5</v>
      </c>
      <c r="Q134" s="517">
        <v>1</v>
      </c>
      <c r="R134" s="517">
        <v>2</v>
      </c>
      <c r="S134" s="518">
        <v>0</v>
      </c>
      <c r="T134" s="516">
        <v>2</v>
      </c>
      <c r="U134" s="517">
        <v>2</v>
      </c>
      <c r="V134" s="517">
        <v>2</v>
      </c>
      <c r="W134" s="517">
        <v>1</v>
      </c>
      <c r="X134" s="517">
        <v>1</v>
      </c>
      <c r="Y134" s="517">
        <v>2</v>
      </c>
      <c r="Z134" s="518">
        <v>-5</v>
      </c>
      <c r="AA134" s="516">
        <v>3</v>
      </c>
      <c r="AB134" s="517">
        <v>2</v>
      </c>
      <c r="AC134" s="517">
        <v>3</v>
      </c>
      <c r="AD134" s="517">
        <v>3</v>
      </c>
      <c r="AE134" s="518">
        <v>-3</v>
      </c>
      <c r="AF134" s="516">
        <v>3</v>
      </c>
      <c r="AG134" s="517">
        <v>2</v>
      </c>
      <c r="AH134" s="517">
        <v>2</v>
      </c>
      <c r="AI134" s="517">
        <v>2</v>
      </c>
      <c r="AJ134" s="517">
        <v>1</v>
      </c>
      <c r="AK134" s="517">
        <v>2</v>
      </c>
      <c r="AL134" s="518">
        <v>-4</v>
      </c>
    </row>
    <row r="135" spans="1:38" ht="17.399999999999999" customHeight="1">
      <c r="A135" s="274">
        <v>3354</v>
      </c>
      <c r="B135" s="283" t="s">
        <v>24</v>
      </c>
      <c r="C135" s="283">
        <v>24</v>
      </c>
      <c r="D135" s="276">
        <v>9</v>
      </c>
      <c r="E135" s="261" t="s">
        <v>55</v>
      </c>
      <c r="F135" s="309" t="s">
        <v>599</v>
      </c>
      <c r="G135" s="510">
        <v>43461</v>
      </c>
      <c r="H135" s="523"/>
      <c r="I135" s="523" t="s">
        <v>743</v>
      </c>
      <c r="J135" s="512">
        <v>1</v>
      </c>
      <c r="K135" s="512">
        <v>2</v>
      </c>
      <c r="L135" s="514">
        <f t="shared" si="4"/>
        <v>0</v>
      </c>
      <c r="M135" s="524">
        <f t="shared" si="5"/>
        <v>0</v>
      </c>
      <c r="N135" s="514"/>
      <c r="O135" s="515"/>
      <c r="P135" s="516"/>
      <c r="Q135" s="517"/>
      <c r="R135" s="517"/>
      <c r="S135" s="518"/>
      <c r="T135" s="516"/>
      <c r="U135" s="517"/>
      <c r="V135" s="517"/>
      <c r="W135" s="517"/>
      <c r="X135" s="517"/>
      <c r="Y135" s="517"/>
      <c r="Z135" s="518"/>
      <c r="AA135" s="516"/>
      <c r="AB135" s="517"/>
      <c r="AC135" s="517"/>
      <c r="AD135" s="517"/>
      <c r="AE135" s="518"/>
      <c r="AF135" s="516"/>
      <c r="AG135" s="517"/>
      <c r="AH135" s="517"/>
      <c r="AI135" s="517"/>
      <c r="AJ135" s="517"/>
      <c r="AK135" s="517"/>
      <c r="AL135" s="518"/>
    </row>
    <row r="136" spans="1:38" ht="17.399999999999999" customHeight="1">
      <c r="A136" s="274">
        <v>3314</v>
      </c>
      <c r="B136" s="283" t="s">
        <v>24</v>
      </c>
      <c r="C136" s="283">
        <v>17</v>
      </c>
      <c r="D136" s="276">
        <v>10</v>
      </c>
      <c r="E136" s="261" t="s">
        <v>167</v>
      </c>
      <c r="F136" s="309" t="s">
        <v>65</v>
      </c>
      <c r="G136" s="510">
        <v>43461</v>
      </c>
      <c r="H136" s="523">
        <v>43442</v>
      </c>
      <c r="I136" s="523"/>
      <c r="J136" s="512">
        <v>1</v>
      </c>
      <c r="K136" s="512">
        <v>2</v>
      </c>
      <c r="L136" s="514">
        <f t="shared" si="4"/>
        <v>42</v>
      </c>
      <c r="M136" s="524">
        <f t="shared" si="5"/>
        <v>0.84</v>
      </c>
      <c r="N136" s="514" t="s">
        <v>33</v>
      </c>
      <c r="O136" s="515">
        <v>43462</v>
      </c>
      <c r="P136" s="516"/>
      <c r="Q136" s="517">
        <v>2</v>
      </c>
      <c r="R136" s="517">
        <v>2</v>
      </c>
      <c r="S136" s="518">
        <v>5</v>
      </c>
      <c r="T136" s="516">
        <v>1</v>
      </c>
      <c r="U136" s="517">
        <v>3</v>
      </c>
      <c r="V136" s="517">
        <v>2</v>
      </c>
      <c r="W136" s="517">
        <v>1</v>
      </c>
      <c r="X136" s="517">
        <v>2</v>
      </c>
      <c r="Y136" s="517">
        <v>2</v>
      </c>
      <c r="Z136" s="518">
        <v>0</v>
      </c>
      <c r="AA136" s="516">
        <v>3</v>
      </c>
      <c r="AB136" s="517">
        <v>3</v>
      </c>
      <c r="AC136" s="517">
        <v>3</v>
      </c>
      <c r="AD136" s="517">
        <v>2</v>
      </c>
      <c r="AE136" s="518">
        <v>-1</v>
      </c>
      <c r="AF136" s="516">
        <v>4</v>
      </c>
      <c r="AG136" s="517">
        <v>2</v>
      </c>
      <c r="AH136" s="517">
        <v>2</v>
      </c>
      <c r="AI136" s="517">
        <v>3</v>
      </c>
      <c r="AJ136" s="517">
        <v>1</v>
      </c>
      <c r="AK136" s="517">
        <v>2</v>
      </c>
      <c r="AL136" s="518">
        <v>-2</v>
      </c>
    </row>
    <row r="137" spans="1:38" ht="17.399999999999999" customHeight="1">
      <c r="A137" s="274">
        <v>3346</v>
      </c>
      <c r="B137" s="283" t="s">
        <v>24</v>
      </c>
      <c r="C137" s="283">
        <v>18</v>
      </c>
      <c r="D137" s="276">
        <v>9</v>
      </c>
      <c r="E137" s="287" t="s">
        <v>651</v>
      </c>
      <c r="F137" s="310" t="s">
        <v>551</v>
      </c>
      <c r="G137" s="510">
        <v>43461</v>
      </c>
      <c r="H137" s="523"/>
      <c r="I137" s="523" t="s">
        <v>208</v>
      </c>
      <c r="J137" s="512">
        <v>1</v>
      </c>
      <c r="K137" s="512">
        <v>2</v>
      </c>
      <c r="L137" s="514">
        <f t="shared" si="4"/>
        <v>0</v>
      </c>
      <c r="M137" s="524">
        <f t="shared" si="5"/>
        <v>0</v>
      </c>
      <c r="N137" s="514">
        <v>1</v>
      </c>
      <c r="O137" s="515">
        <v>43462</v>
      </c>
      <c r="P137" s="516"/>
      <c r="Q137" s="517"/>
      <c r="R137" s="517"/>
      <c r="S137" s="518"/>
      <c r="T137" s="516"/>
      <c r="U137" s="517"/>
      <c r="V137" s="517"/>
      <c r="W137" s="517"/>
      <c r="X137" s="517"/>
      <c r="Y137" s="517"/>
      <c r="Z137" s="518"/>
      <c r="AA137" s="516"/>
      <c r="AB137" s="517"/>
      <c r="AC137" s="517"/>
      <c r="AD137" s="517"/>
      <c r="AE137" s="518"/>
      <c r="AF137" s="516"/>
      <c r="AG137" s="517"/>
      <c r="AH137" s="517"/>
      <c r="AI137" s="517"/>
      <c r="AJ137" s="517"/>
      <c r="AK137" s="517"/>
      <c r="AL137" s="518"/>
    </row>
    <row r="138" spans="1:38" ht="17.399999999999999" customHeight="1">
      <c r="A138" s="274">
        <v>3315</v>
      </c>
      <c r="B138" s="283" t="s">
        <v>24</v>
      </c>
      <c r="C138" s="283">
        <v>19</v>
      </c>
      <c r="D138" s="276">
        <v>10</v>
      </c>
      <c r="E138" s="261" t="s">
        <v>652</v>
      </c>
      <c r="F138" s="309" t="s">
        <v>0</v>
      </c>
      <c r="G138" s="510">
        <v>43461</v>
      </c>
      <c r="H138" s="523"/>
      <c r="I138" s="523" t="s">
        <v>208</v>
      </c>
      <c r="J138" s="512">
        <v>1</v>
      </c>
      <c r="K138" s="512">
        <v>0.2</v>
      </c>
      <c r="L138" s="514">
        <f t="shared" ref="L138" si="16">SUM(P138:AL138)</f>
        <v>0</v>
      </c>
      <c r="M138" s="524">
        <f t="shared" ref="M138" si="17">L138/$L$2</f>
        <v>0</v>
      </c>
      <c r="N138" s="514">
        <v>1</v>
      </c>
      <c r="O138" s="515">
        <v>43462</v>
      </c>
      <c r="P138" s="516"/>
      <c r="Q138" s="517"/>
      <c r="R138" s="517"/>
      <c r="S138" s="518"/>
      <c r="T138" s="516"/>
      <c r="U138" s="517"/>
      <c r="V138" s="517"/>
      <c r="W138" s="517"/>
      <c r="X138" s="517"/>
      <c r="Y138" s="517"/>
      <c r="Z138" s="518"/>
      <c r="AA138" s="516"/>
      <c r="AB138" s="517"/>
      <c r="AC138" s="517"/>
      <c r="AD138" s="517"/>
      <c r="AE138" s="518"/>
      <c r="AF138" s="516"/>
      <c r="AG138" s="517"/>
      <c r="AH138" s="517"/>
      <c r="AI138" s="517"/>
      <c r="AJ138" s="517"/>
      <c r="AK138" s="517"/>
      <c r="AL138" s="518"/>
    </row>
    <row r="139" spans="1:38" ht="17.399999999999999" customHeight="1">
      <c r="A139" s="274">
        <v>3315</v>
      </c>
      <c r="B139" s="283" t="s">
        <v>24</v>
      </c>
      <c r="C139" s="283">
        <v>19</v>
      </c>
      <c r="D139" s="276">
        <v>10</v>
      </c>
      <c r="E139" s="261" t="s">
        <v>652</v>
      </c>
      <c r="F139" s="309" t="s">
        <v>0</v>
      </c>
      <c r="G139" s="510"/>
      <c r="H139" s="523">
        <v>43462</v>
      </c>
      <c r="I139" s="523" t="s">
        <v>742</v>
      </c>
      <c r="J139" s="512">
        <v>2</v>
      </c>
      <c r="K139" s="512">
        <v>1.8</v>
      </c>
      <c r="L139" s="514">
        <f t="shared" si="4"/>
        <v>35</v>
      </c>
      <c r="M139" s="524">
        <f t="shared" si="5"/>
        <v>0.7</v>
      </c>
      <c r="N139" s="514">
        <v>4</v>
      </c>
      <c r="O139" s="515">
        <v>43462</v>
      </c>
      <c r="P139" s="516"/>
      <c r="Q139" s="517">
        <v>2</v>
      </c>
      <c r="R139" s="517">
        <v>2</v>
      </c>
      <c r="S139" s="518">
        <v>5</v>
      </c>
      <c r="T139" s="516">
        <v>1</v>
      </c>
      <c r="U139" s="517">
        <v>2</v>
      </c>
      <c r="V139" s="517">
        <v>2</v>
      </c>
      <c r="W139" s="517">
        <v>1</v>
      </c>
      <c r="X139" s="517">
        <v>1</v>
      </c>
      <c r="Y139" s="517">
        <v>2</v>
      </c>
      <c r="Z139" s="518">
        <v>-3</v>
      </c>
      <c r="AA139" s="516">
        <v>3</v>
      </c>
      <c r="AB139" s="517">
        <v>1</v>
      </c>
      <c r="AC139" s="517">
        <v>3</v>
      </c>
      <c r="AD139" s="517">
        <v>5</v>
      </c>
      <c r="AE139" s="518">
        <v>-1</v>
      </c>
      <c r="AF139" s="516">
        <v>3</v>
      </c>
      <c r="AG139" s="517">
        <v>2</v>
      </c>
      <c r="AH139" s="517">
        <v>0</v>
      </c>
      <c r="AI139" s="517">
        <v>3</v>
      </c>
      <c r="AJ139" s="517">
        <v>1</v>
      </c>
      <c r="AK139" s="517">
        <v>2</v>
      </c>
      <c r="AL139" s="518">
        <v>-2</v>
      </c>
    </row>
    <row r="140" spans="1:38" ht="17.399999999999999" customHeight="1">
      <c r="A140" s="274">
        <v>3355</v>
      </c>
      <c r="B140" s="283" t="s">
        <v>24</v>
      </c>
      <c r="C140" s="283">
        <v>25</v>
      </c>
      <c r="D140" s="276">
        <v>10</v>
      </c>
      <c r="E140" s="261" t="s">
        <v>707</v>
      </c>
      <c r="F140" s="309" t="s">
        <v>695</v>
      </c>
      <c r="G140" s="510">
        <v>43461</v>
      </c>
      <c r="H140" s="523"/>
      <c r="I140" s="523" t="s">
        <v>208</v>
      </c>
      <c r="J140" s="512">
        <v>1</v>
      </c>
      <c r="K140" s="512">
        <v>0.2</v>
      </c>
      <c r="L140" s="514">
        <f t="shared" ref="L140" si="18">SUM(P140:AL140)</f>
        <v>0</v>
      </c>
      <c r="M140" s="524">
        <f t="shared" ref="M140" si="19">L140/$L$2</f>
        <v>0</v>
      </c>
      <c r="N140" s="514">
        <v>1</v>
      </c>
      <c r="O140" s="515">
        <v>43462</v>
      </c>
      <c r="P140" s="516"/>
      <c r="Q140" s="517"/>
      <c r="R140" s="517"/>
      <c r="S140" s="518"/>
      <c r="T140" s="516"/>
      <c r="U140" s="517"/>
      <c r="V140" s="517"/>
      <c r="W140" s="517"/>
      <c r="X140" s="517"/>
      <c r="Y140" s="517"/>
      <c r="Z140" s="518"/>
      <c r="AA140" s="516"/>
      <c r="AB140" s="517"/>
      <c r="AC140" s="517"/>
      <c r="AD140" s="517"/>
      <c r="AE140" s="518"/>
      <c r="AF140" s="516"/>
      <c r="AG140" s="517"/>
      <c r="AH140" s="517"/>
      <c r="AI140" s="517"/>
      <c r="AJ140" s="517"/>
      <c r="AK140" s="517"/>
      <c r="AL140" s="518"/>
    </row>
    <row r="141" spans="1:38" ht="17.399999999999999" customHeight="1">
      <c r="A141" s="274">
        <v>3355</v>
      </c>
      <c r="B141" s="283" t="s">
        <v>24</v>
      </c>
      <c r="C141" s="283">
        <v>25</v>
      </c>
      <c r="D141" s="276">
        <v>10</v>
      </c>
      <c r="E141" s="261" t="s">
        <v>707</v>
      </c>
      <c r="F141" s="309" t="s">
        <v>695</v>
      </c>
      <c r="G141" s="510"/>
      <c r="H141" s="523">
        <v>43461</v>
      </c>
      <c r="I141" s="523" t="s">
        <v>746</v>
      </c>
      <c r="J141" s="512">
        <v>2</v>
      </c>
      <c r="K141" s="512">
        <v>1.8</v>
      </c>
      <c r="L141" s="514">
        <f t="shared" si="4"/>
        <v>13</v>
      </c>
      <c r="M141" s="524">
        <f t="shared" si="5"/>
        <v>0.26</v>
      </c>
      <c r="N141" s="514">
        <v>1</v>
      </c>
      <c r="O141" s="515">
        <v>43462</v>
      </c>
      <c r="P141" s="516">
        <v>-10</v>
      </c>
      <c r="Q141" s="517">
        <v>2</v>
      </c>
      <c r="R141" s="517">
        <v>2</v>
      </c>
      <c r="S141" s="518">
        <v>3</v>
      </c>
      <c r="T141" s="516">
        <v>0</v>
      </c>
      <c r="U141" s="517">
        <v>1</v>
      </c>
      <c r="V141" s="517">
        <v>2</v>
      </c>
      <c r="W141" s="517">
        <v>1</v>
      </c>
      <c r="X141" s="517">
        <v>1</v>
      </c>
      <c r="Y141" s="517">
        <v>0</v>
      </c>
      <c r="Z141" s="518">
        <v>-10</v>
      </c>
      <c r="AA141" s="516">
        <v>3</v>
      </c>
      <c r="AB141" s="517">
        <v>3</v>
      </c>
      <c r="AC141" s="517">
        <v>3</v>
      </c>
      <c r="AD141" s="517">
        <v>5</v>
      </c>
      <c r="AE141" s="518">
        <v>-3</v>
      </c>
      <c r="AF141" s="516">
        <v>4</v>
      </c>
      <c r="AG141" s="517">
        <v>2</v>
      </c>
      <c r="AH141" s="517">
        <v>0</v>
      </c>
      <c r="AI141" s="517">
        <v>3</v>
      </c>
      <c r="AJ141" s="517">
        <v>1</v>
      </c>
      <c r="AK141" s="517">
        <v>2</v>
      </c>
      <c r="AL141" s="518">
        <v>-2</v>
      </c>
    </row>
    <row r="142" spans="1:38" ht="17.399999999999999" customHeight="1">
      <c r="A142" s="274">
        <v>3316</v>
      </c>
      <c r="B142" s="283" t="s">
        <v>24</v>
      </c>
      <c r="C142" s="283">
        <v>20</v>
      </c>
      <c r="D142" s="276">
        <v>10</v>
      </c>
      <c r="E142" s="261" t="s">
        <v>357</v>
      </c>
      <c r="F142" s="309" t="s">
        <v>10</v>
      </c>
      <c r="G142" s="510">
        <v>43461</v>
      </c>
      <c r="H142" s="523">
        <v>43455</v>
      </c>
      <c r="I142" s="523"/>
      <c r="J142" s="512">
        <v>1</v>
      </c>
      <c r="K142" s="512">
        <v>2</v>
      </c>
      <c r="L142" s="514">
        <f t="shared" si="4"/>
        <v>36</v>
      </c>
      <c r="M142" s="524">
        <f t="shared" si="5"/>
        <v>0.72</v>
      </c>
      <c r="N142" s="514">
        <v>4</v>
      </c>
      <c r="O142" s="515">
        <v>43462</v>
      </c>
      <c r="P142" s="516"/>
      <c r="Q142" s="517">
        <v>2</v>
      </c>
      <c r="R142" s="517">
        <v>2</v>
      </c>
      <c r="S142" s="518">
        <v>5</v>
      </c>
      <c r="T142" s="516">
        <v>2</v>
      </c>
      <c r="U142" s="517">
        <v>2</v>
      </c>
      <c r="V142" s="517">
        <v>2</v>
      </c>
      <c r="W142" s="517">
        <v>1</v>
      </c>
      <c r="X142" s="517">
        <v>1</v>
      </c>
      <c r="Y142" s="517">
        <v>2</v>
      </c>
      <c r="Z142" s="518">
        <v>-1</v>
      </c>
      <c r="AA142" s="516">
        <v>3</v>
      </c>
      <c r="AB142" s="517">
        <v>2</v>
      </c>
      <c r="AC142" s="517">
        <v>3</v>
      </c>
      <c r="AD142" s="517">
        <v>4</v>
      </c>
      <c r="AE142" s="518">
        <v>0</v>
      </c>
      <c r="AF142" s="516">
        <v>3</v>
      </c>
      <c r="AG142" s="517">
        <v>2</v>
      </c>
      <c r="AH142" s="517">
        <v>0</v>
      </c>
      <c r="AI142" s="517">
        <v>0</v>
      </c>
      <c r="AJ142" s="517">
        <v>1</v>
      </c>
      <c r="AK142" s="517">
        <v>0</v>
      </c>
      <c r="AL142" s="518">
        <v>0</v>
      </c>
    </row>
    <row r="143" spans="1:38" ht="17.399999999999999" customHeight="1">
      <c r="A143" s="274">
        <v>3352</v>
      </c>
      <c r="B143" s="283" t="s">
        <v>24</v>
      </c>
      <c r="C143" s="283">
        <v>21</v>
      </c>
      <c r="D143" s="276">
        <v>10</v>
      </c>
      <c r="E143" s="287" t="s">
        <v>653</v>
      </c>
      <c r="F143" s="310" t="s">
        <v>12</v>
      </c>
      <c r="G143" s="510">
        <v>43461</v>
      </c>
      <c r="H143" s="523">
        <v>43460</v>
      </c>
      <c r="I143" s="523" t="s">
        <v>741</v>
      </c>
      <c r="J143" s="512">
        <v>1</v>
      </c>
      <c r="K143" s="512">
        <v>2</v>
      </c>
      <c r="L143" s="514">
        <f t="shared" si="4"/>
        <v>17</v>
      </c>
      <c r="M143" s="524">
        <f t="shared" si="5"/>
        <v>0.34</v>
      </c>
      <c r="N143" s="514">
        <v>1</v>
      </c>
      <c r="O143" s="515">
        <v>43462</v>
      </c>
      <c r="P143" s="516">
        <v>-10</v>
      </c>
      <c r="Q143" s="517">
        <v>0</v>
      </c>
      <c r="R143" s="517">
        <v>2</v>
      </c>
      <c r="S143" s="518">
        <v>5</v>
      </c>
      <c r="T143" s="516">
        <v>0</v>
      </c>
      <c r="U143" s="517">
        <v>2</v>
      </c>
      <c r="V143" s="517">
        <v>2</v>
      </c>
      <c r="W143" s="517">
        <v>1</v>
      </c>
      <c r="X143" s="517">
        <v>1</v>
      </c>
      <c r="Y143" s="517">
        <v>2</v>
      </c>
      <c r="Z143" s="518">
        <v>-10</v>
      </c>
      <c r="AA143" s="516">
        <v>3</v>
      </c>
      <c r="AB143" s="517">
        <v>3</v>
      </c>
      <c r="AC143" s="517">
        <v>3</v>
      </c>
      <c r="AD143" s="517">
        <v>5</v>
      </c>
      <c r="AE143" s="518">
        <v>-2</v>
      </c>
      <c r="AF143" s="516">
        <v>4</v>
      </c>
      <c r="AG143" s="517">
        <v>2</v>
      </c>
      <c r="AH143" s="517">
        <v>0</v>
      </c>
      <c r="AI143" s="517">
        <v>3</v>
      </c>
      <c r="AJ143" s="517">
        <v>1</v>
      </c>
      <c r="AK143" s="517">
        <v>2</v>
      </c>
      <c r="AL143" s="518">
        <v>-2</v>
      </c>
    </row>
    <row r="144" spans="1:38" ht="17.399999999999999" customHeight="1">
      <c r="A144" s="274">
        <v>3317</v>
      </c>
      <c r="B144" s="283" t="s">
        <v>24</v>
      </c>
      <c r="C144" s="283">
        <v>22</v>
      </c>
      <c r="D144" s="276">
        <v>10</v>
      </c>
      <c r="E144" s="261" t="s">
        <v>546</v>
      </c>
      <c r="F144" s="309" t="s">
        <v>19</v>
      </c>
      <c r="G144" s="510">
        <v>43461</v>
      </c>
      <c r="H144" s="523">
        <v>43461</v>
      </c>
      <c r="I144" s="523" t="s">
        <v>741</v>
      </c>
      <c r="J144" s="512">
        <v>1</v>
      </c>
      <c r="K144" s="512">
        <v>2</v>
      </c>
      <c r="L144" s="514">
        <f t="shared" si="4"/>
        <v>19</v>
      </c>
      <c r="M144" s="524">
        <f t="shared" si="5"/>
        <v>0.38</v>
      </c>
      <c r="N144" s="514">
        <v>2</v>
      </c>
      <c r="O144" s="515">
        <v>43462</v>
      </c>
      <c r="P144" s="516">
        <v>-10</v>
      </c>
      <c r="Q144" s="517">
        <v>2</v>
      </c>
      <c r="R144" s="517">
        <v>2</v>
      </c>
      <c r="S144" s="518">
        <v>5</v>
      </c>
      <c r="T144" s="516">
        <v>0</v>
      </c>
      <c r="U144" s="517">
        <v>2</v>
      </c>
      <c r="V144" s="517">
        <v>2</v>
      </c>
      <c r="W144" s="517">
        <v>1</v>
      </c>
      <c r="X144" s="517">
        <v>1</v>
      </c>
      <c r="Y144" s="517">
        <v>2</v>
      </c>
      <c r="Z144" s="518">
        <v>-10</v>
      </c>
      <c r="AA144" s="516">
        <v>3</v>
      </c>
      <c r="AB144" s="517">
        <v>3</v>
      </c>
      <c r="AC144" s="517">
        <v>3</v>
      </c>
      <c r="AD144" s="517">
        <v>5</v>
      </c>
      <c r="AE144" s="518">
        <v>-2</v>
      </c>
      <c r="AF144" s="516">
        <v>4</v>
      </c>
      <c r="AG144" s="517">
        <v>2</v>
      </c>
      <c r="AH144" s="517">
        <v>0</v>
      </c>
      <c r="AI144" s="517">
        <v>3</v>
      </c>
      <c r="AJ144" s="517">
        <v>1</v>
      </c>
      <c r="AK144" s="517">
        <v>2</v>
      </c>
      <c r="AL144" s="518">
        <v>-2</v>
      </c>
    </row>
    <row r="145" spans="1:38" ht="17.399999999999999" customHeight="1" thickBot="1">
      <c r="A145" s="288">
        <v>3318</v>
      </c>
      <c r="B145" s="297" t="s">
        <v>24</v>
      </c>
      <c r="C145" s="297">
        <v>23</v>
      </c>
      <c r="D145" s="290">
        <v>10</v>
      </c>
      <c r="E145" s="263" t="s">
        <v>654</v>
      </c>
      <c r="F145" s="312" t="s">
        <v>655</v>
      </c>
      <c r="G145" s="525">
        <v>43461</v>
      </c>
      <c r="H145" s="526">
        <v>43455</v>
      </c>
      <c r="I145" s="526"/>
      <c r="J145" s="527">
        <v>1</v>
      </c>
      <c r="K145" s="527">
        <v>2</v>
      </c>
      <c r="L145" s="528">
        <f>SUM(P145:AL145)</f>
        <v>35</v>
      </c>
      <c r="M145" s="529">
        <f>L145/$L$2</f>
        <v>0.7</v>
      </c>
      <c r="N145" s="528">
        <v>4</v>
      </c>
      <c r="O145" s="530">
        <v>43462</v>
      </c>
      <c r="P145" s="531"/>
      <c r="Q145" s="532">
        <v>2</v>
      </c>
      <c r="R145" s="532">
        <v>2</v>
      </c>
      <c r="S145" s="533">
        <v>5</v>
      </c>
      <c r="T145" s="531">
        <v>1</v>
      </c>
      <c r="U145" s="532">
        <v>2</v>
      </c>
      <c r="V145" s="532">
        <v>2</v>
      </c>
      <c r="W145" s="532">
        <v>1</v>
      </c>
      <c r="X145" s="532">
        <v>1</v>
      </c>
      <c r="Y145" s="532">
        <v>2</v>
      </c>
      <c r="Z145" s="533">
        <v>0</v>
      </c>
      <c r="AA145" s="531">
        <v>3</v>
      </c>
      <c r="AB145" s="532">
        <v>2</v>
      </c>
      <c r="AC145" s="532">
        <v>3</v>
      </c>
      <c r="AD145" s="532">
        <v>3</v>
      </c>
      <c r="AE145" s="533">
        <v>0</v>
      </c>
      <c r="AF145" s="531">
        <v>3</v>
      </c>
      <c r="AG145" s="532">
        <v>2</v>
      </c>
      <c r="AH145" s="532">
        <v>0</v>
      </c>
      <c r="AI145" s="532">
        <v>0</v>
      </c>
      <c r="AJ145" s="532">
        <v>1</v>
      </c>
      <c r="AK145" s="532">
        <v>0</v>
      </c>
      <c r="AL145" s="533">
        <v>0</v>
      </c>
    </row>
    <row r="146" spans="1:38" ht="17.399999999999999" customHeight="1" thickTop="1">
      <c r="A146" s="264">
        <v>3319</v>
      </c>
      <c r="B146" s="265" t="s">
        <v>656</v>
      </c>
      <c r="C146" s="265">
        <v>1</v>
      </c>
      <c r="D146" s="266">
        <v>12</v>
      </c>
      <c r="E146" s="259" t="s">
        <v>657</v>
      </c>
      <c r="F146" s="307" t="s">
        <v>679</v>
      </c>
      <c r="G146" s="501">
        <v>43461</v>
      </c>
      <c r="H146" s="534">
        <v>43446</v>
      </c>
      <c r="I146" s="534" t="s">
        <v>747</v>
      </c>
      <c r="J146" s="503">
        <v>1</v>
      </c>
      <c r="K146" s="503">
        <v>2</v>
      </c>
      <c r="L146" s="505">
        <f t="shared" si="4"/>
        <v>9</v>
      </c>
      <c r="M146" s="535">
        <f t="shared" si="5"/>
        <v>0.18</v>
      </c>
      <c r="N146" s="505">
        <v>1</v>
      </c>
      <c r="O146" s="506">
        <v>43465</v>
      </c>
      <c r="P146" s="507"/>
      <c r="Q146" s="508">
        <v>2</v>
      </c>
      <c r="R146" s="508">
        <v>2</v>
      </c>
      <c r="S146" s="509">
        <v>5</v>
      </c>
      <c r="T146" s="507">
        <v>0</v>
      </c>
      <c r="U146" s="508">
        <v>0</v>
      </c>
      <c r="V146" s="508">
        <v>0</v>
      </c>
      <c r="W146" s="508">
        <v>0</v>
      </c>
      <c r="X146" s="508">
        <v>0</v>
      </c>
      <c r="Y146" s="508">
        <v>0</v>
      </c>
      <c r="Z146" s="509">
        <v>0</v>
      </c>
      <c r="AA146" s="507">
        <v>0</v>
      </c>
      <c r="AB146" s="508">
        <v>0</v>
      </c>
      <c r="AC146" s="508">
        <v>0</v>
      </c>
      <c r="AD146" s="508">
        <v>0</v>
      </c>
      <c r="AE146" s="509">
        <v>0</v>
      </c>
      <c r="AF146" s="507">
        <v>0</v>
      </c>
      <c r="AG146" s="508">
        <v>0</v>
      </c>
      <c r="AH146" s="508">
        <v>0</v>
      </c>
      <c r="AI146" s="508">
        <v>0</v>
      </c>
      <c r="AJ146" s="508">
        <v>0</v>
      </c>
      <c r="AK146" s="508">
        <v>0</v>
      </c>
      <c r="AL146" s="509">
        <v>0</v>
      </c>
    </row>
    <row r="147" spans="1:38" ht="17.399999999999999" customHeight="1">
      <c r="A147" s="274">
        <v>3321</v>
      </c>
      <c r="B147" s="283" t="s">
        <v>656</v>
      </c>
      <c r="C147" s="283">
        <v>3</v>
      </c>
      <c r="D147" s="276">
        <v>12</v>
      </c>
      <c r="E147" s="261" t="s">
        <v>659</v>
      </c>
      <c r="F147" s="310" t="s">
        <v>18</v>
      </c>
      <c r="G147" s="510">
        <v>43461</v>
      </c>
      <c r="H147" s="523">
        <v>43455</v>
      </c>
      <c r="I147" s="523" t="s">
        <v>747</v>
      </c>
      <c r="J147" s="512">
        <v>1</v>
      </c>
      <c r="K147" s="512">
        <v>2</v>
      </c>
      <c r="L147" s="514">
        <f t="shared" ref="L147:L174" si="20">SUM(P147:AL147)</f>
        <v>4</v>
      </c>
      <c r="M147" s="524">
        <f t="shared" ref="M147:M174" si="21">L147/$L$2</f>
        <v>0.08</v>
      </c>
      <c r="N147" s="514">
        <v>1</v>
      </c>
      <c r="O147" s="515">
        <v>43465</v>
      </c>
      <c r="P147" s="519">
        <v>-3</v>
      </c>
      <c r="Q147" s="520">
        <v>0</v>
      </c>
      <c r="R147" s="520">
        <v>2</v>
      </c>
      <c r="S147" s="521">
        <v>5</v>
      </c>
      <c r="T147" s="516">
        <v>0</v>
      </c>
      <c r="U147" s="517">
        <v>0</v>
      </c>
      <c r="V147" s="517">
        <v>0</v>
      </c>
      <c r="W147" s="517">
        <v>0</v>
      </c>
      <c r="X147" s="517">
        <v>0</v>
      </c>
      <c r="Y147" s="517">
        <v>0</v>
      </c>
      <c r="Z147" s="518">
        <v>0</v>
      </c>
      <c r="AA147" s="516">
        <v>0</v>
      </c>
      <c r="AB147" s="517">
        <v>0</v>
      </c>
      <c r="AC147" s="517">
        <v>0</v>
      </c>
      <c r="AD147" s="517">
        <v>0</v>
      </c>
      <c r="AE147" s="518">
        <v>0</v>
      </c>
      <c r="AF147" s="516">
        <v>0</v>
      </c>
      <c r="AG147" s="517">
        <v>0</v>
      </c>
      <c r="AH147" s="517">
        <v>0</v>
      </c>
      <c r="AI147" s="517">
        <v>0</v>
      </c>
      <c r="AJ147" s="517">
        <v>0</v>
      </c>
      <c r="AK147" s="517">
        <v>0</v>
      </c>
      <c r="AL147" s="518">
        <v>0</v>
      </c>
    </row>
    <row r="148" spans="1:38" ht="17.399999999999999" customHeight="1">
      <c r="A148" s="274">
        <v>3323</v>
      </c>
      <c r="B148" s="283" t="s">
        <v>656</v>
      </c>
      <c r="C148" s="283">
        <v>4</v>
      </c>
      <c r="D148" s="276">
        <v>12</v>
      </c>
      <c r="E148" s="261" t="s">
        <v>660</v>
      </c>
      <c r="F148" s="309" t="s">
        <v>12</v>
      </c>
      <c r="G148" s="510">
        <v>43461</v>
      </c>
      <c r="H148" s="523">
        <v>43455</v>
      </c>
      <c r="I148" s="523" t="s">
        <v>708</v>
      </c>
      <c r="J148" s="512">
        <v>1</v>
      </c>
      <c r="K148" s="512">
        <v>2</v>
      </c>
      <c r="L148" s="514">
        <f t="shared" si="20"/>
        <v>19</v>
      </c>
      <c r="M148" s="524">
        <f t="shared" si="21"/>
        <v>0.38</v>
      </c>
      <c r="N148" s="514">
        <v>2</v>
      </c>
      <c r="O148" s="515">
        <v>43465</v>
      </c>
      <c r="P148" s="519">
        <v>-5</v>
      </c>
      <c r="Q148" s="520">
        <v>2</v>
      </c>
      <c r="R148" s="520">
        <v>2</v>
      </c>
      <c r="S148" s="521">
        <v>0</v>
      </c>
      <c r="T148" s="516">
        <v>1</v>
      </c>
      <c r="U148" s="517">
        <v>2</v>
      </c>
      <c r="V148" s="517">
        <v>2</v>
      </c>
      <c r="W148" s="517">
        <v>0</v>
      </c>
      <c r="X148" s="517">
        <v>2</v>
      </c>
      <c r="Y148" s="517">
        <v>2</v>
      </c>
      <c r="Z148" s="518">
        <v>-1</v>
      </c>
      <c r="AA148" s="516">
        <v>0</v>
      </c>
      <c r="AB148" s="517">
        <v>0</v>
      </c>
      <c r="AC148" s="517">
        <v>0</v>
      </c>
      <c r="AD148" s="517">
        <v>0</v>
      </c>
      <c r="AE148" s="518">
        <v>0</v>
      </c>
      <c r="AF148" s="516">
        <v>4</v>
      </c>
      <c r="AG148" s="517">
        <v>2</v>
      </c>
      <c r="AH148" s="517">
        <v>2</v>
      </c>
      <c r="AI148" s="517">
        <v>3</v>
      </c>
      <c r="AJ148" s="517">
        <v>1</v>
      </c>
      <c r="AK148" s="517">
        <v>2</v>
      </c>
      <c r="AL148" s="518">
        <v>-2</v>
      </c>
    </row>
    <row r="149" spans="1:38" ht="17.399999999999999" customHeight="1">
      <c r="A149" s="274">
        <v>3325</v>
      </c>
      <c r="B149" s="283" t="s">
        <v>656</v>
      </c>
      <c r="C149" s="283">
        <v>5</v>
      </c>
      <c r="D149" s="276">
        <v>8</v>
      </c>
      <c r="E149" s="261" t="s">
        <v>661</v>
      </c>
      <c r="F149" s="309" t="s">
        <v>695</v>
      </c>
      <c r="G149" s="510">
        <v>43461</v>
      </c>
      <c r="H149" s="523"/>
      <c r="I149" s="523" t="s">
        <v>208</v>
      </c>
      <c r="J149" s="512">
        <v>1</v>
      </c>
      <c r="K149" s="512">
        <v>2</v>
      </c>
      <c r="L149" s="514">
        <f>SUM(P149:AL149)</f>
        <v>0</v>
      </c>
      <c r="M149" s="524">
        <f>L149/$L$2</f>
        <v>0</v>
      </c>
      <c r="N149" s="514">
        <v>1</v>
      </c>
      <c r="O149" s="515">
        <v>43465</v>
      </c>
      <c r="P149" s="519"/>
      <c r="Q149" s="520"/>
      <c r="R149" s="520"/>
      <c r="S149" s="521"/>
      <c r="T149" s="516"/>
      <c r="U149" s="517"/>
      <c r="V149" s="517"/>
      <c r="W149" s="517"/>
      <c r="X149" s="517"/>
      <c r="Y149" s="517"/>
      <c r="Z149" s="518"/>
      <c r="AA149" s="516"/>
      <c r="AB149" s="517"/>
      <c r="AC149" s="517"/>
      <c r="AD149" s="517"/>
      <c r="AE149" s="518"/>
      <c r="AF149" s="516"/>
      <c r="AG149" s="517"/>
      <c r="AH149" s="517"/>
      <c r="AI149" s="517"/>
      <c r="AJ149" s="517"/>
      <c r="AK149" s="517"/>
      <c r="AL149" s="518"/>
    </row>
    <row r="150" spans="1:38" ht="17.399999999999999" customHeight="1">
      <c r="A150" s="274">
        <v>3326</v>
      </c>
      <c r="B150" s="283" t="s">
        <v>656</v>
      </c>
      <c r="C150" s="283">
        <v>6</v>
      </c>
      <c r="D150" s="276">
        <v>12</v>
      </c>
      <c r="E150" s="287" t="s">
        <v>575</v>
      </c>
      <c r="F150" s="310" t="s">
        <v>65</v>
      </c>
      <c r="G150" s="510">
        <v>43461</v>
      </c>
      <c r="H150" s="523">
        <v>43450</v>
      </c>
      <c r="I150" s="523" t="s">
        <v>748</v>
      </c>
      <c r="J150" s="512">
        <v>1</v>
      </c>
      <c r="K150" s="512">
        <v>2</v>
      </c>
      <c r="L150" s="514">
        <f t="shared" si="20"/>
        <v>32</v>
      </c>
      <c r="M150" s="524">
        <f t="shared" si="21"/>
        <v>0.64</v>
      </c>
      <c r="N150" s="514" t="s">
        <v>32</v>
      </c>
      <c r="O150" s="515">
        <v>43465</v>
      </c>
      <c r="P150" s="516">
        <v>-5</v>
      </c>
      <c r="Q150" s="517">
        <v>2</v>
      </c>
      <c r="R150" s="517">
        <v>2</v>
      </c>
      <c r="S150" s="518">
        <v>0</v>
      </c>
      <c r="T150" s="516">
        <v>1</v>
      </c>
      <c r="U150" s="517">
        <v>2</v>
      </c>
      <c r="V150" s="517">
        <v>2</v>
      </c>
      <c r="W150" s="517">
        <v>1</v>
      </c>
      <c r="X150" s="517">
        <v>1</v>
      </c>
      <c r="Y150" s="517">
        <v>2</v>
      </c>
      <c r="Z150" s="518"/>
      <c r="AA150" s="516">
        <v>3</v>
      </c>
      <c r="AB150" s="517">
        <v>2</v>
      </c>
      <c r="AC150" s="517">
        <v>3</v>
      </c>
      <c r="AD150" s="517">
        <v>4</v>
      </c>
      <c r="AE150" s="518">
        <v>0</v>
      </c>
      <c r="AF150" s="516">
        <v>4</v>
      </c>
      <c r="AG150" s="517">
        <v>2</v>
      </c>
      <c r="AH150" s="517">
        <v>2</v>
      </c>
      <c r="AI150" s="517">
        <v>1</v>
      </c>
      <c r="AJ150" s="517">
        <v>1</v>
      </c>
      <c r="AK150" s="517">
        <v>2</v>
      </c>
      <c r="AL150" s="518">
        <v>0</v>
      </c>
    </row>
    <row r="151" spans="1:38" ht="17.399999999999999" customHeight="1">
      <c r="A151" s="274">
        <v>3327</v>
      </c>
      <c r="B151" s="283" t="s">
        <v>656</v>
      </c>
      <c r="C151" s="283">
        <v>7</v>
      </c>
      <c r="D151" s="276">
        <v>12</v>
      </c>
      <c r="E151" s="287" t="s">
        <v>662</v>
      </c>
      <c r="F151" s="310" t="s">
        <v>48</v>
      </c>
      <c r="G151" s="510">
        <v>43461</v>
      </c>
      <c r="H151" s="523"/>
      <c r="I151" s="523" t="s">
        <v>208</v>
      </c>
      <c r="J151" s="512">
        <v>1</v>
      </c>
      <c r="K151" s="512">
        <v>0.3</v>
      </c>
      <c r="L151" s="514">
        <f t="shared" si="20"/>
        <v>0</v>
      </c>
      <c r="M151" s="524">
        <f t="shared" si="21"/>
        <v>0</v>
      </c>
      <c r="N151" s="514">
        <v>1</v>
      </c>
      <c r="O151" s="515">
        <v>43465</v>
      </c>
      <c r="P151" s="516"/>
      <c r="Q151" s="517"/>
      <c r="R151" s="517"/>
      <c r="S151" s="518"/>
      <c r="T151" s="516"/>
      <c r="U151" s="517"/>
      <c r="V151" s="517"/>
      <c r="W151" s="517"/>
      <c r="X151" s="517"/>
      <c r="Y151" s="517"/>
      <c r="Z151" s="518"/>
      <c r="AA151" s="516"/>
      <c r="AB151" s="517"/>
      <c r="AC151" s="517"/>
      <c r="AD151" s="517"/>
      <c r="AE151" s="518"/>
      <c r="AF151" s="516"/>
      <c r="AG151" s="517"/>
      <c r="AH151" s="517"/>
      <c r="AI151" s="517"/>
      <c r="AJ151" s="517"/>
      <c r="AK151" s="517"/>
      <c r="AL151" s="518"/>
    </row>
    <row r="152" spans="1:38" ht="17.399999999999999" customHeight="1">
      <c r="A152" s="274">
        <v>3327</v>
      </c>
      <c r="B152" s="283" t="s">
        <v>656</v>
      </c>
      <c r="C152" s="283">
        <v>7</v>
      </c>
      <c r="D152" s="276">
        <v>12</v>
      </c>
      <c r="E152" s="287" t="s">
        <v>662</v>
      </c>
      <c r="F152" s="310" t="s">
        <v>48</v>
      </c>
      <c r="G152" s="510"/>
      <c r="H152" s="523">
        <v>43474</v>
      </c>
      <c r="I152" s="523" t="s">
        <v>758</v>
      </c>
      <c r="J152" s="512">
        <v>2</v>
      </c>
      <c r="K152" s="512">
        <v>1.7</v>
      </c>
      <c r="L152" s="514">
        <f t="shared" si="20"/>
        <v>18</v>
      </c>
      <c r="M152" s="524">
        <f t="shared" si="21"/>
        <v>0.36</v>
      </c>
      <c r="N152" s="514">
        <v>2</v>
      </c>
      <c r="O152" s="515">
        <v>43475</v>
      </c>
      <c r="P152" s="516"/>
      <c r="Q152" s="517">
        <v>2</v>
      </c>
      <c r="R152" s="517">
        <v>2</v>
      </c>
      <c r="S152" s="518">
        <v>4</v>
      </c>
      <c r="T152" s="516">
        <v>1</v>
      </c>
      <c r="U152" s="517">
        <v>3</v>
      </c>
      <c r="V152" s="517">
        <v>2</v>
      </c>
      <c r="W152" s="517">
        <v>0</v>
      </c>
      <c r="X152" s="517">
        <v>2</v>
      </c>
      <c r="Y152" s="517">
        <v>1</v>
      </c>
      <c r="Z152" s="518">
        <v>-3</v>
      </c>
      <c r="AA152" s="516">
        <v>3</v>
      </c>
      <c r="AB152" s="517">
        <v>0</v>
      </c>
      <c r="AC152" s="517">
        <v>2</v>
      </c>
      <c r="AD152" s="517">
        <v>0</v>
      </c>
      <c r="AE152" s="518">
        <v>-1</v>
      </c>
      <c r="AF152" s="516">
        <v>0</v>
      </c>
      <c r="AG152" s="517">
        <v>0</v>
      </c>
      <c r="AH152" s="517">
        <v>0</v>
      </c>
      <c r="AI152" s="517">
        <v>0</v>
      </c>
      <c r="AJ152" s="517">
        <v>0</v>
      </c>
      <c r="AK152" s="517">
        <v>0</v>
      </c>
      <c r="AL152" s="518">
        <v>0</v>
      </c>
    </row>
    <row r="153" spans="1:38" ht="17.399999999999999" customHeight="1">
      <c r="A153" s="274">
        <v>3328</v>
      </c>
      <c r="B153" s="283" t="s">
        <v>656</v>
      </c>
      <c r="C153" s="283">
        <v>8</v>
      </c>
      <c r="D153" s="276">
        <v>12</v>
      </c>
      <c r="E153" s="261" t="s">
        <v>156</v>
      </c>
      <c r="F153" s="309" t="s">
        <v>14</v>
      </c>
      <c r="G153" s="510">
        <v>43461</v>
      </c>
      <c r="H153" s="523"/>
      <c r="I153" s="523" t="s">
        <v>208</v>
      </c>
      <c r="J153" s="512">
        <v>1</v>
      </c>
      <c r="K153" s="512">
        <v>2</v>
      </c>
      <c r="L153" s="514">
        <f>SUM(P153:AL153)</f>
        <v>0</v>
      </c>
      <c r="M153" s="524">
        <f>L153/$L$2</f>
        <v>0</v>
      </c>
      <c r="N153" s="514">
        <v>1</v>
      </c>
      <c r="O153" s="515">
        <v>43465</v>
      </c>
      <c r="P153" s="516"/>
      <c r="Q153" s="517"/>
      <c r="R153" s="517"/>
      <c r="S153" s="518"/>
      <c r="T153" s="516"/>
      <c r="U153" s="517"/>
      <c r="V153" s="517"/>
      <c r="W153" s="517"/>
      <c r="X153" s="517"/>
      <c r="Y153" s="517"/>
      <c r="Z153" s="518"/>
      <c r="AA153" s="516"/>
      <c r="AB153" s="517"/>
      <c r="AC153" s="517"/>
      <c r="AD153" s="517"/>
      <c r="AE153" s="518"/>
      <c r="AF153" s="516"/>
      <c r="AG153" s="517"/>
      <c r="AH153" s="517"/>
      <c r="AI153" s="517"/>
      <c r="AJ153" s="517"/>
      <c r="AK153" s="517"/>
      <c r="AL153" s="518"/>
    </row>
    <row r="154" spans="1:38" ht="17.399999999999999" customHeight="1">
      <c r="A154" s="274">
        <v>3329</v>
      </c>
      <c r="B154" s="283" t="s">
        <v>656</v>
      </c>
      <c r="C154" s="283">
        <v>9</v>
      </c>
      <c r="D154" s="276">
        <v>11</v>
      </c>
      <c r="E154" s="261" t="s">
        <v>663</v>
      </c>
      <c r="F154" s="309" t="s">
        <v>14</v>
      </c>
      <c r="G154" s="510">
        <v>43461</v>
      </c>
      <c r="H154" s="523"/>
      <c r="I154" s="523" t="s">
        <v>208</v>
      </c>
      <c r="J154" s="512">
        <v>1</v>
      </c>
      <c r="K154" s="512">
        <v>2</v>
      </c>
      <c r="L154" s="514">
        <f t="shared" si="20"/>
        <v>0</v>
      </c>
      <c r="M154" s="524">
        <f t="shared" si="21"/>
        <v>0</v>
      </c>
      <c r="N154" s="514">
        <v>1</v>
      </c>
      <c r="O154" s="515">
        <v>43465</v>
      </c>
      <c r="P154" s="516"/>
      <c r="Q154" s="517"/>
      <c r="R154" s="517"/>
      <c r="S154" s="518"/>
      <c r="T154" s="516"/>
      <c r="U154" s="517"/>
      <c r="V154" s="517"/>
      <c r="W154" s="517"/>
      <c r="X154" s="517"/>
      <c r="Y154" s="517"/>
      <c r="Z154" s="518"/>
      <c r="AA154" s="516"/>
      <c r="AB154" s="517"/>
      <c r="AC154" s="517"/>
      <c r="AD154" s="517"/>
      <c r="AE154" s="518"/>
      <c r="AF154" s="516"/>
      <c r="AG154" s="517"/>
      <c r="AH154" s="517"/>
      <c r="AI154" s="517"/>
      <c r="AJ154" s="517"/>
      <c r="AK154" s="517"/>
      <c r="AL154" s="518"/>
    </row>
    <row r="155" spans="1:38" ht="17.399999999999999" customHeight="1">
      <c r="A155" s="274">
        <v>3249</v>
      </c>
      <c r="B155" s="283" t="s">
        <v>656</v>
      </c>
      <c r="C155" s="283">
        <v>10</v>
      </c>
      <c r="D155" s="276">
        <v>12</v>
      </c>
      <c r="E155" s="261" t="s">
        <v>664</v>
      </c>
      <c r="F155" s="309" t="s">
        <v>128</v>
      </c>
      <c r="G155" s="510">
        <v>43461</v>
      </c>
      <c r="H155" s="523">
        <v>43461</v>
      </c>
      <c r="I155" s="523" t="s">
        <v>748</v>
      </c>
      <c r="J155" s="512">
        <v>1</v>
      </c>
      <c r="K155" s="512">
        <v>2</v>
      </c>
      <c r="L155" s="514">
        <f t="shared" si="20"/>
        <v>18</v>
      </c>
      <c r="M155" s="524">
        <f t="shared" si="21"/>
        <v>0.36</v>
      </c>
      <c r="N155" s="514">
        <v>2</v>
      </c>
      <c r="O155" s="515">
        <v>43465</v>
      </c>
      <c r="P155" s="516">
        <v>-1</v>
      </c>
      <c r="Q155" s="517">
        <v>2</v>
      </c>
      <c r="R155" s="517">
        <v>2</v>
      </c>
      <c r="S155" s="518">
        <v>0</v>
      </c>
      <c r="T155" s="516">
        <v>1</v>
      </c>
      <c r="U155" s="517">
        <v>0</v>
      </c>
      <c r="V155" s="517">
        <v>2</v>
      </c>
      <c r="W155" s="517">
        <v>1</v>
      </c>
      <c r="X155" s="517">
        <v>0</v>
      </c>
      <c r="Y155" s="517">
        <v>2</v>
      </c>
      <c r="Z155" s="518">
        <v>-3</v>
      </c>
      <c r="AA155" s="516">
        <v>3</v>
      </c>
      <c r="AB155" s="517">
        <v>1</v>
      </c>
      <c r="AC155" s="517">
        <v>2</v>
      </c>
      <c r="AD155" s="517">
        <v>0</v>
      </c>
      <c r="AE155" s="518">
        <v>0</v>
      </c>
      <c r="AF155" s="516">
        <v>3</v>
      </c>
      <c r="AG155" s="517">
        <v>2</v>
      </c>
      <c r="AH155" s="517">
        <v>2</v>
      </c>
      <c r="AI155" s="517">
        <v>1</v>
      </c>
      <c r="AJ155" s="517">
        <v>0</v>
      </c>
      <c r="AK155" s="517">
        <v>1</v>
      </c>
      <c r="AL155" s="518">
        <v>-3</v>
      </c>
    </row>
    <row r="156" spans="1:38" ht="17.399999999999999" customHeight="1">
      <c r="A156" s="274">
        <v>3330</v>
      </c>
      <c r="B156" s="283" t="s">
        <v>656</v>
      </c>
      <c r="C156" s="283">
        <v>11</v>
      </c>
      <c r="D156" s="276">
        <v>11</v>
      </c>
      <c r="E156" s="261" t="s">
        <v>665</v>
      </c>
      <c r="F156" s="309" t="s">
        <v>19</v>
      </c>
      <c r="G156" s="510">
        <v>43461</v>
      </c>
      <c r="H156" s="523">
        <v>43469</v>
      </c>
      <c r="I156" s="523"/>
      <c r="J156" s="512">
        <v>1</v>
      </c>
      <c r="K156" s="512">
        <v>2</v>
      </c>
      <c r="L156" s="514">
        <f t="shared" si="20"/>
        <v>28</v>
      </c>
      <c r="M156" s="524">
        <f t="shared" si="21"/>
        <v>0.56000000000000005</v>
      </c>
      <c r="N156" s="514">
        <v>3</v>
      </c>
      <c r="O156" s="515">
        <v>43474</v>
      </c>
      <c r="P156" s="516"/>
      <c r="Q156" s="517">
        <v>2</v>
      </c>
      <c r="R156" s="517">
        <v>2</v>
      </c>
      <c r="S156" s="518">
        <v>1</v>
      </c>
      <c r="T156" s="516">
        <v>2</v>
      </c>
      <c r="U156" s="517">
        <v>2</v>
      </c>
      <c r="V156" s="517">
        <v>2</v>
      </c>
      <c r="W156" s="517">
        <v>1</v>
      </c>
      <c r="X156" s="517">
        <v>0</v>
      </c>
      <c r="Y156" s="517">
        <v>2</v>
      </c>
      <c r="Z156" s="518">
        <v>-1</v>
      </c>
      <c r="AA156" s="516">
        <v>3</v>
      </c>
      <c r="AB156" s="517">
        <v>3</v>
      </c>
      <c r="AC156" s="517">
        <v>2</v>
      </c>
      <c r="AD156" s="517">
        <v>4</v>
      </c>
      <c r="AE156" s="518">
        <v>-1</v>
      </c>
      <c r="AF156" s="516">
        <v>1</v>
      </c>
      <c r="AG156" s="517">
        <v>2</v>
      </c>
      <c r="AH156" s="517">
        <v>2</v>
      </c>
      <c r="AI156" s="517">
        <v>3</v>
      </c>
      <c r="AJ156" s="517">
        <v>1</v>
      </c>
      <c r="AK156" s="517">
        <v>2</v>
      </c>
      <c r="AL156" s="518">
        <v>-7</v>
      </c>
    </row>
    <row r="157" spans="1:38" ht="17.399999999999999" customHeight="1">
      <c r="A157" s="274">
        <v>3331</v>
      </c>
      <c r="B157" s="283" t="s">
        <v>656</v>
      </c>
      <c r="C157" s="283">
        <v>12</v>
      </c>
      <c r="D157" s="276">
        <v>11</v>
      </c>
      <c r="E157" s="261" t="s">
        <v>666</v>
      </c>
      <c r="F157" s="309" t="s">
        <v>79</v>
      </c>
      <c r="G157" s="510">
        <v>43461</v>
      </c>
      <c r="H157" s="523"/>
      <c r="I157" s="523" t="s">
        <v>208</v>
      </c>
      <c r="J157" s="512">
        <v>1</v>
      </c>
      <c r="K157" s="512">
        <v>2</v>
      </c>
      <c r="L157" s="514">
        <f t="shared" si="20"/>
        <v>0</v>
      </c>
      <c r="M157" s="524">
        <f t="shared" si="21"/>
        <v>0</v>
      </c>
      <c r="N157" s="514">
        <v>1</v>
      </c>
      <c r="O157" s="515">
        <v>43465</v>
      </c>
      <c r="P157" s="516"/>
      <c r="Q157" s="517"/>
      <c r="R157" s="517"/>
      <c r="S157" s="518"/>
      <c r="T157" s="516"/>
      <c r="U157" s="517"/>
      <c r="V157" s="517"/>
      <c r="W157" s="517"/>
      <c r="X157" s="517"/>
      <c r="Y157" s="517"/>
      <c r="Z157" s="518"/>
      <c r="AA157" s="516"/>
      <c r="AB157" s="517"/>
      <c r="AC157" s="517"/>
      <c r="AD157" s="517"/>
      <c r="AE157" s="518"/>
      <c r="AF157" s="516"/>
      <c r="AG157" s="517"/>
      <c r="AH157" s="517"/>
      <c r="AI157" s="517"/>
      <c r="AJ157" s="517"/>
      <c r="AK157" s="517"/>
      <c r="AL157" s="518"/>
    </row>
    <row r="158" spans="1:38" ht="17.399999999999999" customHeight="1">
      <c r="A158" s="274">
        <v>3332</v>
      </c>
      <c r="B158" s="283" t="s">
        <v>656</v>
      </c>
      <c r="C158" s="283">
        <v>13</v>
      </c>
      <c r="D158" s="276">
        <v>11</v>
      </c>
      <c r="E158" s="261" t="s">
        <v>438</v>
      </c>
      <c r="F158" s="309" t="s">
        <v>676</v>
      </c>
      <c r="G158" s="510">
        <v>43461</v>
      </c>
      <c r="H158" s="523">
        <v>43450</v>
      </c>
      <c r="I158" s="523"/>
      <c r="J158" s="512">
        <v>1</v>
      </c>
      <c r="K158" s="512">
        <v>2</v>
      </c>
      <c r="L158" s="514">
        <f>SUM(P158:AL158)</f>
        <v>11</v>
      </c>
      <c r="M158" s="524">
        <f>L158/$L$2</f>
        <v>0.22</v>
      </c>
      <c r="N158" s="514">
        <v>1</v>
      </c>
      <c r="O158" s="515">
        <v>43476</v>
      </c>
      <c r="P158" s="516"/>
      <c r="Q158" s="517">
        <v>2</v>
      </c>
      <c r="R158" s="517">
        <v>2</v>
      </c>
      <c r="S158" s="518">
        <v>0</v>
      </c>
      <c r="T158" s="516">
        <v>0</v>
      </c>
      <c r="U158" s="517">
        <v>3</v>
      </c>
      <c r="V158" s="517">
        <v>1</v>
      </c>
      <c r="W158" s="517">
        <v>1</v>
      </c>
      <c r="X158" s="517">
        <v>2</v>
      </c>
      <c r="Y158" s="517">
        <v>0</v>
      </c>
      <c r="Z158" s="518">
        <v>-4</v>
      </c>
      <c r="AA158" s="516">
        <v>1</v>
      </c>
      <c r="AB158" s="517">
        <v>1</v>
      </c>
      <c r="AC158" s="517">
        <v>0</v>
      </c>
      <c r="AD158" s="517">
        <v>0</v>
      </c>
      <c r="AE158" s="518">
        <v>0</v>
      </c>
      <c r="AF158" s="516">
        <v>0</v>
      </c>
      <c r="AG158" s="517">
        <v>0</v>
      </c>
      <c r="AH158" s="517">
        <v>0</v>
      </c>
      <c r="AI158" s="517">
        <v>1</v>
      </c>
      <c r="AJ158" s="517">
        <v>0</v>
      </c>
      <c r="AK158" s="517">
        <v>1</v>
      </c>
      <c r="AL158" s="518">
        <v>0</v>
      </c>
    </row>
    <row r="159" spans="1:38" ht="17.399999999999999" customHeight="1">
      <c r="A159" s="274">
        <v>3333</v>
      </c>
      <c r="B159" s="283" t="s">
        <v>656</v>
      </c>
      <c r="C159" s="283">
        <v>14</v>
      </c>
      <c r="D159" s="276">
        <v>12</v>
      </c>
      <c r="E159" s="261" t="s">
        <v>581</v>
      </c>
      <c r="F159" s="309" t="s">
        <v>677</v>
      </c>
      <c r="G159" s="510">
        <v>43461</v>
      </c>
      <c r="H159" s="523">
        <v>43459</v>
      </c>
      <c r="I159" s="523" t="s">
        <v>747</v>
      </c>
      <c r="J159" s="512">
        <v>1</v>
      </c>
      <c r="K159" s="512">
        <v>2</v>
      </c>
      <c r="L159" s="514">
        <f t="shared" si="20"/>
        <v>9</v>
      </c>
      <c r="M159" s="524">
        <f t="shared" si="21"/>
        <v>0.18</v>
      </c>
      <c r="N159" s="514">
        <v>1</v>
      </c>
      <c r="O159" s="515">
        <v>43465</v>
      </c>
      <c r="P159" s="516"/>
      <c r="Q159" s="517">
        <v>2</v>
      </c>
      <c r="R159" s="517">
        <v>2</v>
      </c>
      <c r="S159" s="518">
        <v>5</v>
      </c>
      <c r="T159" s="516">
        <v>0</v>
      </c>
      <c r="U159" s="517">
        <v>0</v>
      </c>
      <c r="V159" s="517">
        <v>0</v>
      </c>
      <c r="W159" s="517">
        <v>0</v>
      </c>
      <c r="X159" s="517">
        <v>0</v>
      </c>
      <c r="Y159" s="517">
        <v>0</v>
      </c>
      <c r="Z159" s="518">
        <v>0</v>
      </c>
      <c r="AA159" s="516">
        <v>0</v>
      </c>
      <c r="AB159" s="517">
        <v>0</v>
      </c>
      <c r="AC159" s="517">
        <v>0</v>
      </c>
      <c r="AD159" s="517">
        <v>0</v>
      </c>
      <c r="AE159" s="518">
        <v>0</v>
      </c>
      <c r="AF159" s="516">
        <v>0</v>
      </c>
      <c r="AG159" s="517">
        <v>0</v>
      </c>
      <c r="AH159" s="517">
        <v>0</v>
      </c>
      <c r="AI159" s="517">
        <v>0</v>
      </c>
      <c r="AJ159" s="517">
        <v>0</v>
      </c>
      <c r="AK159" s="517">
        <v>0</v>
      </c>
      <c r="AL159" s="518">
        <v>0</v>
      </c>
    </row>
    <row r="160" spans="1:38" ht="17.399999999999999" customHeight="1">
      <c r="A160" s="274">
        <v>3334</v>
      </c>
      <c r="B160" s="283" t="s">
        <v>656</v>
      </c>
      <c r="C160" s="283">
        <v>15</v>
      </c>
      <c r="D160" s="276">
        <v>12</v>
      </c>
      <c r="E160" s="261" t="s">
        <v>345</v>
      </c>
      <c r="F160" s="309" t="s">
        <v>188</v>
      </c>
      <c r="G160" s="510">
        <v>43461</v>
      </c>
      <c r="H160" s="523"/>
      <c r="I160" s="523" t="s">
        <v>208</v>
      </c>
      <c r="J160" s="512">
        <v>1</v>
      </c>
      <c r="K160" s="512">
        <v>2</v>
      </c>
      <c r="L160" s="514">
        <f t="shared" si="20"/>
        <v>0</v>
      </c>
      <c r="M160" s="524">
        <f t="shared" si="21"/>
        <v>0</v>
      </c>
      <c r="N160" s="514">
        <v>1</v>
      </c>
      <c r="O160" s="515">
        <v>43465</v>
      </c>
      <c r="P160" s="516"/>
      <c r="Q160" s="517"/>
      <c r="R160" s="517"/>
      <c r="S160" s="518"/>
      <c r="T160" s="516"/>
      <c r="U160" s="517"/>
      <c r="V160" s="517"/>
      <c r="W160" s="517"/>
      <c r="X160" s="517"/>
      <c r="Y160" s="517"/>
      <c r="Z160" s="518"/>
      <c r="AA160" s="516"/>
      <c r="AB160" s="517"/>
      <c r="AC160" s="517"/>
      <c r="AD160" s="517"/>
      <c r="AE160" s="518"/>
      <c r="AF160" s="516"/>
      <c r="AG160" s="517"/>
      <c r="AH160" s="517"/>
      <c r="AI160" s="517"/>
      <c r="AJ160" s="517"/>
      <c r="AK160" s="517"/>
      <c r="AL160" s="518"/>
    </row>
    <row r="161" spans="1:38" ht="17.399999999999999" customHeight="1">
      <c r="A161" s="274">
        <v>3335</v>
      </c>
      <c r="B161" s="283" t="s">
        <v>656</v>
      </c>
      <c r="C161" s="283">
        <v>16</v>
      </c>
      <c r="D161" s="276">
        <v>12</v>
      </c>
      <c r="E161" s="261" t="s">
        <v>667</v>
      </c>
      <c r="F161" s="309" t="s">
        <v>82</v>
      </c>
      <c r="G161" s="510">
        <v>43461</v>
      </c>
      <c r="H161" s="523">
        <v>43450</v>
      </c>
      <c r="I161" s="523" t="s">
        <v>749</v>
      </c>
      <c r="J161" s="512">
        <v>1</v>
      </c>
      <c r="K161" s="512">
        <v>0.2</v>
      </c>
      <c r="L161" s="514">
        <f t="shared" si="20"/>
        <v>18</v>
      </c>
      <c r="M161" s="524">
        <f t="shared" si="21"/>
        <v>0.36</v>
      </c>
      <c r="N161" s="514">
        <v>2</v>
      </c>
      <c r="O161" s="515">
        <v>43465</v>
      </c>
      <c r="P161" s="516">
        <v>-2</v>
      </c>
      <c r="Q161" s="517">
        <v>2</v>
      </c>
      <c r="R161" s="517">
        <v>2</v>
      </c>
      <c r="S161" s="518">
        <v>0</v>
      </c>
      <c r="T161" s="516">
        <v>0</v>
      </c>
      <c r="U161" s="517">
        <v>2</v>
      </c>
      <c r="V161" s="517">
        <v>1</v>
      </c>
      <c r="W161" s="517">
        <v>1</v>
      </c>
      <c r="X161" s="517">
        <v>1</v>
      </c>
      <c r="Y161" s="517">
        <v>2</v>
      </c>
      <c r="Z161" s="518">
        <v>-3</v>
      </c>
      <c r="AA161" s="516">
        <v>3</v>
      </c>
      <c r="AB161" s="517">
        <v>3</v>
      </c>
      <c r="AC161" s="517">
        <v>1</v>
      </c>
      <c r="AD161" s="517">
        <v>1</v>
      </c>
      <c r="AE161" s="518">
        <v>-2</v>
      </c>
      <c r="AF161" s="516">
        <v>2</v>
      </c>
      <c r="AG161" s="517">
        <v>2</v>
      </c>
      <c r="AH161" s="517">
        <v>2</v>
      </c>
      <c r="AI161" s="517">
        <v>2</v>
      </c>
      <c r="AJ161" s="517">
        <v>1</v>
      </c>
      <c r="AK161" s="517">
        <v>1</v>
      </c>
      <c r="AL161" s="518">
        <v>-4</v>
      </c>
    </row>
    <row r="162" spans="1:38" ht="17.399999999999999" customHeight="1">
      <c r="A162" s="274">
        <v>3335</v>
      </c>
      <c r="B162" s="283" t="s">
        <v>656</v>
      </c>
      <c r="C162" s="283">
        <v>16</v>
      </c>
      <c r="D162" s="276">
        <v>12</v>
      </c>
      <c r="E162" s="261" t="s">
        <v>667</v>
      </c>
      <c r="F162" s="309" t="s">
        <v>82</v>
      </c>
      <c r="G162" s="510"/>
      <c r="H162" s="523">
        <v>43473</v>
      </c>
      <c r="I162" s="523" t="s">
        <v>705</v>
      </c>
      <c r="J162" s="512">
        <v>2</v>
      </c>
      <c r="K162" s="512">
        <v>1.8</v>
      </c>
      <c r="L162" s="514">
        <f t="shared" si="20"/>
        <v>22</v>
      </c>
      <c r="M162" s="524">
        <f t="shared" si="21"/>
        <v>0.44</v>
      </c>
      <c r="N162" s="514">
        <v>2</v>
      </c>
      <c r="O162" s="515">
        <v>43474</v>
      </c>
      <c r="P162" s="516">
        <v>-5</v>
      </c>
      <c r="Q162" s="517">
        <v>2</v>
      </c>
      <c r="R162" s="517">
        <v>2</v>
      </c>
      <c r="S162" s="518">
        <v>0</v>
      </c>
      <c r="T162" s="516">
        <v>1</v>
      </c>
      <c r="U162" s="517">
        <v>2</v>
      </c>
      <c r="V162" s="517">
        <v>2</v>
      </c>
      <c r="W162" s="517">
        <v>0</v>
      </c>
      <c r="X162" s="517">
        <v>1</v>
      </c>
      <c r="Y162" s="517">
        <v>1</v>
      </c>
      <c r="Z162" s="518">
        <v>-2</v>
      </c>
      <c r="AA162" s="516">
        <v>3</v>
      </c>
      <c r="AB162" s="517">
        <v>3</v>
      </c>
      <c r="AC162" s="517">
        <v>3</v>
      </c>
      <c r="AD162" s="517">
        <v>3</v>
      </c>
      <c r="AE162" s="518">
        <v>-2</v>
      </c>
      <c r="AF162" s="516">
        <v>3</v>
      </c>
      <c r="AG162" s="517">
        <v>2</v>
      </c>
      <c r="AH162" s="517">
        <v>2</v>
      </c>
      <c r="AI162" s="517">
        <v>2</v>
      </c>
      <c r="AJ162" s="517">
        <v>1</v>
      </c>
      <c r="AK162" s="517">
        <v>2</v>
      </c>
      <c r="AL162" s="518">
        <v>-4</v>
      </c>
    </row>
    <row r="163" spans="1:38" ht="17.399999999999999" customHeight="1">
      <c r="A163" s="274">
        <v>3336</v>
      </c>
      <c r="B163" s="283" t="s">
        <v>656</v>
      </c>
      <c r="C163" s="283">
        <v>17</v>
      </c>
      <c r="D163" s="276">
        <v>11</v>
      </c>
      <c r="E163" s="287" t="s">
        <v>668</v>
      </c>
      <c r="F163" s="310" t="s">
        <v>385</v>
      </c>
      <c r="G163" s="510">
        <v>43461</v>
      </c>
      <c r="H163" s="523"/>
      <c r="I163" s="523" t="s">
        <v>208</v>
      </c>
      <c r="J163" s="512">
        <v>1</v>
      </c>
      <c r="K163" s="512">
        <v>2</v>
      </c>
      <c r="L163" s="514">
        <f t="shared" si="20"/>
        <v>0</v>
      </c>
      <c r="M163" s="524">
        <f t="shared" si="21"/>
        <v>0</v>
      </c>
      <c r="N163" s="514">
        <v>1</v>
      </c>
      <c r="O163" s="515">
        <v>43465</v>
      </c>
      <c r="P163" s="516"/>
      <c r="Q163" s="517"/>
      <c r="R163" s="517"/>
      <c r="S163" s="518"/>
      <c r="T163" s="516"/>
      <c r="U163" s="517"/>
      <c r="V163" s="517"/>
      <c r="W163" s="517"/>
      <c r="X163" s="517"/>
      <c r="Y163" s="517"/>
      <c r="Z163" s="518"/>
      <c r="AA163" s="516"/>
      <c r="AB163" s="517"/>
      <c r="AC163" s="517"/>
      <c r="AD163" s="517"/>
      <c r="AE163" s="518"/>
      <c r="AF163" s="516"/>
      <c r="AG163" s="517"/>
      <c r="AH163" s="517"/>
      <c r="AI163" s="517"/>
      <c r="AJ163" s="517"/>
      <c r="AK163" s="517"/>
      <c r="AL163" s="518"/>
    </row>
    <row r="164" spans="1:38" ht="17.399999999999999" customHeight="1">
      <c r="A164" s="274">
        <v>3337</v>
      </c>
      <c r="B164" s="283" t="s">
        <v>656</v>
      </c>
      <c r="C164" s="283">
        <v>18</v>
      </c>
      <c r="D164" s="276">
        <v>11</v>
      </c>
      <c r="E164" s="261" t="s">
        <v>669</v>
      </c>
      <c r="F164" s="309" t="s">
        <v>675</v>
      </c>
      <c r="G164" s="510">
        <v>43461</v>
      </c>
      <c r="H164" s="523">
        <v>43451</v>
      </c>
      <c r="I164" s="523" t="s">
        <v>747</v>
      </c>
      <c r="J164" s="512">
        <v>1</v>
      </c>
      <c r="K164" s="512">
        <v>2</v>
      </c>
      <c r="L164" s="514">
        <f t="shared" si="20"/>
        <v>6</v>
      </c>
      <c r="M164" s="524">
        <f t="shared" si="21"/>
        <v>0.12</v>
      </c>
      <c r="N164" s="514">
        <v>1</v>
      </c>
      <c r="O164" s="515">
        <v>43465</v>
      </c>
      <c r="P164" s="516"/>
      <c r="Q164" s="517">
        <v>2</v>
      </c>
      <c r="R164" s="517">
        <v>2</v>
      </c>
      <c r="S164" s="518">
        <v>5</v>
      </c>
      <c r="T164" s="516">
        <v>0</v>
      </c>
      <c r="U164" s="517">
        <v>3</v>
      </c>
      <c r="V164" s="517">
        <v>2</v>
      </c>
      <c r="W164" s="517">
        <v>0</v>
      </c>
      <c r="X164" s="517">
        <v>2</v>
      </c>
      <c r="Y164" s="517">
        <v>0</v>
      </c>
      <c r="Z164" s="518">
        <v>-14</v>
      </c>
      <c r="AA164" s="516">
        <v>2</v>
      </c>
      <c r="AB164" s="517">
        <v>0</v>
      </c>
      <c r="AC164" s="517">
        <v>0</v>
      </c>
      <c r="AD164" s="517">
        <v>0</v>
      </c>
      <c r="AE164" s="518">
        <v>-8</v>
      </c>
      <c r="AF164" s="516">
        <v>2</v>
      </c>
      <c r="AG164" s="517">
        <v>1</v>
      </c>
      <c r="AH164" s="517">
        <v>2</v>
      </c>
      <c r="AI164" s="517">
        <v>3</v>
      </c>
      <c r="AJ164" s="517">
        <v>1</v>
      </c>
      <c r="AK164" s="517">
        <v>2</v>
      </c>
      <c r="AL164" s="518">
        <v>-1</v>
      </c>
    </row>
    <row r="165" spans="1:38" ht="17.399999999999999" customHeight="1">
      <c r="A165" s="274">
        <v>3338</v>
      </c>
      <c r="B165" s="283" t="s">
        <v>656</v>
      </c>
      <c r="C165" s="283">
        <v>19</v>
      </c>
      <c r="D165" s="276">
        <v>11</v>
      </c>
      <c r="E165" s="287" t="s">
        <v>357</v>
      </c>
      <c r="F165" s="310" t="s">
        <v>18</v>
      </c>
      <c r="G165" s="510">
        <v>43461</v>
      </c>
      <c r="H165" s="523"/>
      <c r="I165" s="523" t="s">
        <v>208</v>
      </c>
      <c r="J165" s="512">
        <v>1</v>
      </c>
      <c r="K165" s="512">
        <v>0.2</v>
      </c>
      <c r="L165" s="514">
        <f t="shared" si="20"/>
        <v>0</v>
      </c>
      <c r="M165" s="524">
        <f t="shared" si="21"/>
        <v>0</v>
      </c>
      <c r="N165" s="514">
        <v>1</v>
      </c>
      <c r="O165" s="515">
        <v>43465</v>
      </c>
      <c r="P165" s="516"/>
      <c r="Q165" s="517"/>
      <c r="R165" s="517"/>
      <c r="S165" s="518"/>
      <c r="T165" s="516"/>
      <c r="U165" s="517"/>
      <c r="V165" s="517"/>
      <c r="W165" s="517"/>
      <c r="X165" s="517"/>
      <c r="Y165" s="517"/>
      <c r="Z165" s="518"/>
      <c r="AA165" s="516"/>
      <c r="AB165" s="517"/>
      <c r="AC165" s="517"/>
      <c r="AD165" s="517"/>
      <c r="AE165" s="518"/>
      <c r="AF165" s="516"/>
      <c r="AG165" s="517"/>
      <c r="AH165" s="517"/>
      <c r="AI165" s="517"/>
      <c r="AJ165" s="517"/>
      <c r="AK165" s="517"/>
      <c r="AL165" s="518"/>
    </row>
    <row r="166" spans="1:38" ht="17.399999999999999" customHeight="1">
      <c r="A166" s="274">
        <v>3338</v>
      </c>
      <c r="B166" s="283" t="s">
        <v>656</v>
      </c>
      <c r="C166" s="283">
        <v>19</v>
      </c>
      <c r="D166" s="276">
        <v>11</v>
      </c>
      <c r="E166" s="287" t="s">
        <v>357</v>
      </c>
      <c r="F166" s="310" t="s">
        <v>18</v>
      </c>
      <c r="G166" s="510"/>
      <c r="H166" s="523">
        <v>43461</v>
      </c>
      <c r="I166" s="523" t="s">
        <v>750</v>
      </c>
      <c r="J166" s="512">
        <v>2</v>
      </c>
      <c r="K166" s="512">
        <v>1.8</v>
      </c>
      <c r="L166" s="514">
        <f t="shared" si="20"/>
        <v>11</v>
      </c>
      <c r="M166" s="524">
        <f t="shared" si="21"/>
        <v>0.22</v>
      </c>
      <c r="N166" s="514">
        <v>1</v>
      </c>
      <c r="O166" s="515">
        <v>43465</v>
      </c>
      <c r="P166" s="516">
        <v>-5</v>
      </c>
      <c r="Q166" s="517">
        <v>2</v>
      </c>
      <c r="R166" s="517">
        <v>2</v>
      </c>
      <c r="S166" s="518">
        <v>0</v>
      </c>
      <c r="T166" s="516">
        <v>1</v>
      </c>
      <c r="U166" s="517">
        <v>2</v>
      </c>
      <c r="V166" s="517">
        <v>2</v>
      </c>
      <c r="W166" s="517">
        <v>0</v>
      </c>
      <c r="X166" s="517">
        <v>0</v>
      </c>
      <c r="Y166" s="517">
        <v>1</v>
      </c>
      <c r="Z166" s="518">
        <v>-8</v>
      </c>
      <c r="AA166" s="516">
        <v>2</v>
      </c>
      <c r="AB166" s="517">
        <v>3</v>
      </c>
      <c r="AC166" s="517">
        <v>2</v>
      </c>
      <c r="AD166" s="517">
        <v>1</v>
      </c>
      <c r="AE166" s="518">
        <v>0</v>
      </c>
      <c r="AF166" s="516">
        <v>1</v>
      </c>
      <c r="AG166" s="517">
        <v>2</v>
      </c>
      <c r="AH166" s="517">
        <v>2</v>
      </c>
      <c r="AI166" s="517">
        <v>3</v>
      </c>
      <c r="AJ166" s="517">
        <v>1</v>
      </c>
      <c r="AK166" s="517">
        <v>2</v>
      </c>
      <c r="AL166" s="518">
        <v>-5</v>
      </c>
    </row>
    <row r="167" spans="1:38" ht="17.399999999999999" customHeight="1">
      <c r="A167" s="274">
        <v>3339</v>
      </c>
      <c r="B167" s="283" t="s">
        <v>656</v>
      </c>
      <c r="C167" s="283">
        <v>20</v>
      </c>
      <c r="D167" s="276">
        <v>11</v>
      </c>
      <c r="E167" s="261" t="s">
        <v>387</v>
      </c>
      <c r="F167" s="310" t="s">
        <v>65</v>
      </c>
      <c r="G167" s="510">
        <v>43461</v>
      </c>
      <c r="H167" s="523">
        <v>43460</v>
      </c>
      <c r="I167" s="523" t="s">
        <v>751</v>
      </c>
      <c r="J167" s="512">
        <v>1</v>
      </c>
      <c r="K167" s="512">
        <v>2</v>
      </c>
      <c r="L167" s="514">
        <f t="shared" si="20"/>
        <v>37</v>
      </c>
      <c r="M167" s="524">
        <f t="shared" si="21"/>
        <v>0.74</v>
      </c>
      <c r="N167" s="514">
        <v>4</v>
      </c>
      <c r="O167" s="515">
        <v>43465</v>
      </c>
      <c r="P167" s="516">
        <v>-2</v>
      </c>
      <c r="Q167" s="517">
        <v>0</v>
      </c>
      <c r="R167" s="517">
        <v>2</v>
      </c>
      <c r="S167" s="518">
        <v>5</v>
      </c>
      <c r="T167" s="516">
        <v>2</v>
      </c>
      <c r="U167" s="517">
        <v>2</v>
      </c>
      <c r="V167" s="517">
        <v>2</v>
      </c>
      <c r="W167" s="517">
        <v>1</v>
      </c>
      <c r="X167" s="517">
        <v>1</v>
      </c>
      <c r="Y167" s="517">
        <v>2</v>
      </c>
      <c r="Z167" s="518">
        <v>0</v>
      </c>
      <c r="AA167" s="516">
        <v>3</v>
      </c>
      <c r="AB167" s="517">
        <v>3</v>
      </c>
      <c r="AC167" s="517">
        <v>3</v>
      </c>
      <c r="AD167" s="517">
        <v>5</v>
      </c>
      <c r="AE167" s="518">
        <v>-1</v>
      </c>
      <c r="AF167" s="516">
        <v>4</v>
      </c>
      <c r="AG167" s="517">
        <v>2</v>
      </c>
      <c r="AH167" s="517">
        <v>2</v>
      </c>
      <c r="AI167" s="517">
        <v>1</v>
      </c>
      <c r="AJ167" s="517">
        <v>0</v>
      </c>
      <c r="AK167" s="517">
        <v>1</v>
      </c>
      <c r="AL167" s="518">
        <v>-1</v>
      </c>
    </row>
    <row r="168" spans="1:38" ht="17.399999999999999" customHeight="1">
      <c r="A168" s="274">
        <v>3340</v>
      </c>
      <c r="B168" s="283" t="s">
        <v>656</v>
      </c>
      <c r="C168" s="283">
        <v>21</v>
      </c>
      <c r="D168" s="276">
        <v>12</v>
      </c>
      <c r="E168" s="261" t="s">
        <v>387</v>
      </c>
      <c r="F168" s="309" t="s">
        <v>47</v>
      </c>
      <c r="G168" s="510">
        <v>43461</v>
      </c>
      <c r="H168" s="523">
        <v>43460</v>
      </c>
      <c r="I168" s="523"/>
      <c r="J168" s="512">
        <v>1</v>
      </c>
      <c r="K168" s="512">
        <v>2</v>
      </c>
      <c r="L168" s="514">
        <f t="shared" si="20"/>
        <v>42</v>
      </c>
      <c r="M168" s="524">
        <f t="shared" si="21"/>
        <v>0.84</v>
      </c>
      <c r="N168" s="514" t="s">
        <v>33</v>
      </c>
      <c r="O168" s="515">
        <v>43465</v>
      </c>
      <c r="P168" s="516"/>
      <c r="Q168" s="517">
        <v>2</v>
      </c>
      <c r="R168" s="517">
        <v>2</v>
      </c>
      <c r="S168" s="518">
        <v>5</v>
      </c>
      <c r="T168" s="516">
        <v>2</v>
      </c>
      <c r="U168" s="517">
        <v>2</v>
      </c>
      <c r="V168" s="517">
        <v>2</v>
      </c>
      <c r="W168" s="517">
        <v>1</v>
      </c>
      <c r="X168" s="517">
        <v>1</v>
      </c>
      <c r="Y168" s="517">
        <v>2</v>
      </c>
      <c r="Z168" s="518">
        <v>0</v>
      </c>
      <c r="AA168" s="516">
        <v>3</v>
      </c>
      <c r="AB168" s="517">
        <v>3</v>
      </c>
      <c r="AC168" s="517">
        <v>3</v>
      </c>
      <c r="AD168" s="517">
        <v>5</v>
      </c>
      <c r="AE168" s="518">
        <v>-2</v>
      </c>
      <c r="AF168" s="516">
        <v>3</v>
      </c>
      <c r="AG168" s="517">
        <v>2</v>
      </c>
      <c r="AH168" s="517">
        <v>2</v>
      </c>
      <c r="AI168" s="517">
        <v>2</v>
      </c>
      <c r="AJ168" s="517">
        <v>1</v>
      </c>
      <c r="AK168" s="517">
        <v>2</v>
      </c>
      <c r="AL168" s="518">
        <v>-1</v>
      </c>
    </row>
    <row r="169" spans="1:38" ht="17.399999999999999" customHeight="1">
      <c r="A169" s="274">
        <v>3341</v>
      </c>
      <c r="B169" s="283" t="s">
        <v>656</v>
      </c>
      <c r="C169" s="283">
        <v>22</v>
      </c>
      <c r="D169" s="276">
        <v>11</v>
      </c>
      <c r="E169" s="261" t="s">
        <v>670</v>
      </c>
      <c r="F169" s="310" t="s">
        <v>385</v>
      </c>
      <c r="G169" s="510">
        <v>43461</v>
      </c>
      <c r="H169" s="523"/>
      <c r="I169" s="523" t="s">
        <v>208</v>
      </c>
      <c r="J169" s="512">
        <v>1</v>
      </c>
      <c r="K169" s="512">
        <v>0.2</v>
      </c>
      <c r="L169" s="514">
        <f t="shared" si="20"/>
        <v>0</v>
      </c>
      <c r="M169" s="524">
        <f t="shared" si="21"/>
        <v>0</v>
      </c>
      <c r="N169" s="514">
        <v>1</v>
      </c>
      <c r="O169" s="515">
        <v>43465</v>
      </c>
      <c r="P169" s="516"/>
      <c r="Q169" s="517"/>
      <c r="R169" s="517"/>
      <c r="S169" s="518"/>
      <c r="T169" s="516"/>
      <c r="U169" s="517"/>
      <c r="V169" s="517"/>
      <c r="W169" s="517"/>
      <c r="X169" s="517"/>
      <c r="Y169" s="517"/>
      <c r="Z169" s="518"/>
      <c r="AA169" s="516"/>
      <c r="AB169" s="517"/>
      <c r="AC169" s="517"/>
      <c r="AD169" s="517"/>
      <c r="AE169" s="518"/>
      <c r="AF169" s="516"/>
      <c r="AG169" s="517"/>
      <c r="AH169" s="517"/>
      <c r="AI169" s="517"/>
      <c r="AJ169" s="517"/>
      <c r="AK169" s="517"/>
      <c r="AL169" s="518"/>
    </row>
    <row r="170" spans="1:38" ht="17.399999999999999" customHeight="1">
      <c r="A170" s="274">
        <v>3341</v>
      </c>
      <c r="B170" s="283" t="s">
        <v>656</v>
      </c>
      <c r="C170" s="283">
        <v>22</v>
      </c>
      <c r="D170" s="276">
        <v>11</v>
      </c>
      <c r="E170" s="261" t="s">
        <v>670</v>
      </c>
      <c r="F170" s="310" t="s">
        <v>385</v>
      </c>
      <c r="G170" s="510"/>
      <c r="H170" s="523">
        <v>43461</v>
      </c>
      <c r="I170" s="523" t="s">
        <v>705</v>
      </c>
      <c r="J170" s="512">
        <v>2</v>
      </c>
      <c r="K170" s="512">
        <v>1.8</v>
      </c>
      <c r="L170" s="514">
        <f t="shared" si="20"/>
        <v>23</v>
      </c>
      <c r="M170" s="524">
        <f t="shared" si="21"/>
        <v>0.46</v>
      </c>
      <c r="N170" s="514" t="s">
        <v>35</v>
      </c>
      <c r="O170" s="515">
        <v>43465</v>
      </c>
      <c r="P170" s="516">
        <v>-5</v>
      </c>
      <c r="Q170" s="517">
        <v>2</v>
      </c>
      <c r="R170" s="517">
        <v>2</v>
      </c>
      <c r="S170" s="518">
        <v>0</v>
      </c>
      <c r="T170" s="516">
        <v>1</v>
      </c>
      <c r="U170" s="517">
        <v>2</v>
      </c>
      <c r="V170" s="517">
        <v>2</v>
      </c>
      <c r="W170" s="517">
        <v>1</v>
      </c>
      <c r="X170" s="517">
        <v>1</v>
      </c>
      <c r="Y170" s="517">
        <v>2</v>
      </c>
      <c r="Z170" s="518">
        <v>-1</v>
      </c>
      <c r="AA170" s="516">
        <v>3</v>
      </c>
      <c r="AB170" s="517">
        <v>2</v>
      </c>
      <c r="AC170" s="517">
        <v>3</v>
      </c>
      <c r="AD170" s="517">
        <v>4</v>
      </c>
      <c r="AE170" s="518">
        <v>0</v>
      </c>
      <c r="AF170" s="516">
        <v>2</v>
      </c>
      <c r="AG170" s="517">
        <v>2</v>
      </c>
      <c r="AH170" s="517">
        <v>0</v>
      </c>
      <c r="AI170" s="517">
        <v>0</v>
      </c>
      <c r="AJ170" s="517">
        <v>0</v>
      </c>
      <c r="AK170" s="517">
        <v>0</v>
      </c>
      <c r="AL170" s="518">
        <v>0</v>
      </c>
    </row>
    <row r="171" spans="1:38" ht="17.399999999999999" customHeight="1">
      <c r="A171" s="274">
        <v>3342</v>
      </c>
      <c r="B171" s="283" t="s">
        <v>656</v>
      </c>
      <c r="C171" s="283">
        <v>23</v>
      </c>
      <c r="D171" s="276">
        <v>8</v>
      </c>
      <c r="E171" s="261" t="s">
        <v>671</v>
      </c>
      <c r="F171" s="309" t="s">
        <v>14</v>
      </c>
      <c r="G171" s="510">
        <v>43461</v>
      </c>
      <c r="H171" s="523">
        <v>43450</v>
      </c>
      <c r="I171" s="536"/>
      <c r="J171" s="512">
        <v>1</v>
      </c>
      <c r="K171" s="512">
        <v>2</v>
      </c>
      <c r="L171" s="514">
        <f t="shared" si="20"/>
        <v>26</v>
      </c>
      <c r="M171" s="524">
        <f t="shared" si="21"/>
        <v>0.52</v>
      </c>
      <c r="N171" s="514" t="s">
        <v>31</v>
      </c>
      <c r="O171" s="515">
        <v>43465</v>
      </c>
      <c r="P171" s="516"/>
      <c r="Q171" s="517">
        <v>2</v>
      </c>
      <c r="R171" s="517">
        <v>2</v>
      </c>
      <c r="S171" s="518">
        <v>5</v>
      </c>
      <c r="T171" s="516">
        <v>2</v>
      </c>
      <c r="U171" s="517">
        <v>3</v>
      </c>
      <c r="V171" s="517">
        <v>2</v>
      </c>
      <c r="W171" s="517">
        <v>1</v>
      </c>
      <c r="X171" s="517">
        <v>1</v>
      </c>
      <c r="Y171" s="517">
        <v>2</v>
      </c>
      <c r="Z171" s="518">
        <v>-1</v>
      </c>
      <c r="AA171" s="516">
        <v>3</v>
      </c>
      <c r="AB171" s="517">
        <v>0</v>
      </c>
      <c r="AC171" s="517">
        <v>1</v>
      </c>
      <c r="AD171" s="517">
        <v>2</v>
      </c>
      <c r="AE171" s="518">
        <v>-5</v>
      </c>
      <c r="AF171" s="516">
        <v>2</v>
      </c>
      <c r="AG171" s="517">
        <v>2</v>
      </c>
      <c r="AH171" s="517">
        <v>2</v>
      </c>
      <c r="AI171" s="517">
        <v>1</v>
      </c>
      <c r="AJ171" s="517">
        <v>0</v>
      </c>
      <c r="AK171" s="517">
        <v>1</v>
      </c>
      <c r="AL171" s="518">
        <v>-2</v>
      </c>
    </row>
    <row r="172" spans="1:38" ht="17.399999999999999" customHeight="1">
      <c r="A172" s="274">
        <v>3343</v>
      </c>
      <c r="B172" s="283" t="s">
        <v>656</v>
      </c>
      <c r="C172" s="283">
        <v>24</v>
      </c>
      <c r="D172" s="276">
        <v>12</v>
      </c>
      <c r="E172" s="261" t="s">
        <v>360</v>
      </c>
      <c r="F172" s="309" t="s">
        <v>79</v>
      </c>
      <c r="G172" s="510">
        <v>43461</v>
      </c>
      <c r="H172" s="523"/>
      <c r="I172" s="536" t="s">
        <v>208</v>
      </c>
      <c r="J172" s="512">
        <v>1</v>
      </c>
      <c r="K172" s="512">
        <v>2</v>
      </c>
      <c r="L172" s="514">
        <f>SUM(P172:AL172)</f>
        <v>0</v>
      </c>
      <c r="M172" s="524">
        <f>L172/$L$2</f>
        <v>0</v>
      </c>
      <c r="N172" s="514">
        <v>1</v>
      </c>
      <c r="O172" s="515">
        <v>43465</v>
      </c>
      <c r="P172" s="516"/>
      <c r="Q172" s="517"/>
      <c r="R172" s="517"/>
      <c r="S172" s="518"/>
      <c r="T172" s="516"/>
      <c r="U172" s="517"/>
      <c r="V172" s="517"/>
      <c r="W172" s="517"/>
      <c r="X172" s="517"/>
      <c r="Y172" s="517"/>
      <c r="Z172" s="518"/>
      <c r="AA172" s="516"/>
      <c r="AB172" s="517"/>
      <c r="AC172" s="517"/>
      <c r="AD172" s="517"/>
      <c r="AE172" s="518"/>
      <c r="AF172" s="516"/>
      <c r="AG172" s="517"/>
      <c r="AH172" s="517"/>
      <c r="AI172" s="517"/>
      <c r="AJ172" s="517"/>
      <c r="AK172" s="517"/>
      <c r="AL172" s="518"/>
    </row>
    <row r="173" spans="1:38" ht="17.399999999999999" customHeight="1">
      <c r="A173" s="274">
        <v>3344</v>
      </c>
      <c r="B173" s="283" t="s">
        <v>656</v>
      </c>
      <c r="C173" s="283">
        <v>25</v>
      </c>
      <c r="D173" s="276">
        <v>12</v>
      </c>
      <c r="E173" s="261" t="s">
        <v>640</v>
      </c>
      <c r="F173" s="309" t="s">
        <v>19</v>
      </c>
      <c r="G173" s="510">
        <v>43461</v>
      </c>
      <c r="H173" s="523"/>
      <c r="I173" s="523" t="s">
        <v>208</v>
      </c>
      <c r="J173" s="512">
        <v>1</v>
      </c>
      <c r="K173" s="512">
        <v>2</v>
      </c>
      <c r="L173" s="514">
        <f t="shared" si="20"/>
        <v>0</v>
      </c>
      <c r="M173" s="524">
        <f t="shared" si="21"/>
        <v>0</v>
      </c>
      <c r="N173" s="514">
        <v>1</v>
      </c>
      <c r="O173" s="515">
        <v>43465</v>
      </c>
      <c r="P173" s="516"/>
      <c r="Q173" s="517"/>
      <c r="R173" s="517"/>
      <c r="S173" s="518"/>
      <c r="T173" s="516"/>
      <c r="U173" s="517"/>
      <c r="V173" s="517"/>
      <c r="W173" s="517"/>
      <c r="X173" s="517"/>
      <c r="Y173" s="517"/>
      <c r="Z173" s="518"/>
      <c r="AA173" s="516"/>
      <c r="AB173" s="517"/>
      <c r="AC173" s="517"/>
      <c r="AD173" s="517"/>
      <c r="AE173" s="518"/>
      <c r="AF173" s="516"/>
      <c r="AG173" s="517"/>
      <c r="AH173" s="517"/>
      <c r="AI173" s="517"/>
      <c r="AJ173" s="517"/>
      <c r="AK173" s="517"/>
      <c r="AL173" s="518"/>
    </row>
    <row r="174" spans="1:38" ht="17.399999999999999" customHeight="1" thickBot="1">
      <c r="A174" s="288">
        <v>3345</v>
      </c>
      <c r="B174" s="297" t="s">
        <v>656</v>
      </c>
      <c r="C174" s="297">
        <v>26</v>
      </c>
      <c r="D174" s="290">
        <v>12</v>
      </c>
      <c r="E174" s="263" t="s">
        <v>110</v>
      </c>
      <c r="F174" s="312" t="s">
        <v>12</v>
      </c>
      <c r="G174" s="525">
        <v>43461</v>
      </c>
      <c r="H174" s="526">
        <v>43456</v>
      </c>
      <c r="I174" s="526"/>
      <c r="J174" s="527">
        <v>1</v>
      </c>
      <c r="K174" s="527">
        <v>2</v>
      </c>
      <c r="L174" s="528">
        <f t="shared" si="20"/>
        <v>43</v>
      </c>
      <c r="M174" s="529">
        <f t="shared" si="21"/>
        <v>0.86</v>
      </c>
      <c r="N174" s="528">
        <v>5</v>
      </c>
      <c r="O174" s="530">
        <v>43465</v>
      </c>
      <c r="P174" s="531"/>
      <c r="Q174" s="532">
        <v>2</v>
      </c>
      <c r="R174" s="532">
        <v>2</v>
      </c>
      <c r="S174" s="533">
        <v>5</v>
      </c>
      <c r="T174" s="531">
        <v>1</v>
      </c>
      <c r="U174" s="532">
        <v>2</v>
      </c>
      <c r="V174" s="532">
        <v>2</v>
      </c>
      <c r="W174" s="532">
        <v>1</v>
      </c>
      <c r="X174" s="532">
        <v>1</v>
      </c>
      <c r="Y174" s="532">
        <v>2</v>
      </c>
      <c r="Z174" s="533">
        <v>0</v>
      </c>
      <c r="AA174" s="531">
        <v>3</v>
      </c>
      <c r="AB174" s="532">
        <v>2</v>
      </c>
      <c r="AC174" s="532">
        <v>3</v>
      </c>
      <c r="AD174" s="532">
        <v>3</v>
      </c>
      <c r="AE174" s="533">
        <v>0</v>
      </c>
      <c r="AF174" s="531">
        <v>4</v>
      </c>
      <c r="AG174" s="532">
        <v>2</v>
      </c>
      <c r="AH174" s="532">
        <v>2</v>
      </c>
      <c r="AI174" s="532">
        <v>3</v>
      </c>
      <c r="AJ174" s="532">
        <v>1</v>
      </c>
      <c r="AK174" s="532">
        <v>2</v>
      </c>
      <c r="AL174" s="533">
        <v>0</v>
      </c>
    </row>
    <row r="175" spans="1:38" ht="14.4" thickTop="1"/>
  </sheetData>
  <autoFilter ref="A1:P174">
    <sortState ref="A2:P128">
      <sortCondition ref="B1:B199"/>
    </sortState>
  </autoFilter>
  <mergeCells count="8">
    <mergeCell ref="O1:O2"/>
    <mergeCell ref="G1:G2"/>
    <mergeCell ref="H1:H2"/>
    <mergeCell ref="N1:N2"/>
    <mergeCell ref="M1:M2"/>
    <mergeCell ref="I1:I2"/>
    <mergeCell ref="J1:J2"/>
    <mergeCell ref="K1:K2"/>
  </mergeCells>
  <conditionalFormatting sqref="H3:H112 H115:H119 H121:H122 H124 H126:H130 H132:H137 H139 H141:H174">
    <cfRule type="cellIs" dxfId="17" priority="20" operator="greaterThan">
      <formula>$G3</formula>
    </cfRule>
  </conditionalFormatting>
  <conditionalFormatting sqref="G3:G112 G115:G119 G121:G122 G124 G126:G130 G132:G137 G139 G141:G174">
    <cfRule type="timePeriod" dxfId="16" priority="19" timePeriod="last7Days">
      <formula>AND(TODAY()-FLOOR(G3,1)&lt;=6,FLOOR(G3,1)&lt;=TODAY())</formula>
    </cfRule>
  </conditionalFormatting>
  <conditionalFormatting sqref="H113">
    <cfRule type="cellIs" dxfId="15" priority="16" operator="greaterThan">
      <formula>$G113</formula>
    </cfRule>
  </conditionalFormatting>
  <conditionalFormatting sqref="G113">
    <cfRule type="timePeriod" dxfId="14" priority="15" timePeriod="last7Days">
      <formula>AND(TODAY()-FLOOR(G113,1)&lt;=6,FLOOR(G113,1)&lt;=TODAY())</formula>
    </cfRule>
  </conditionalFormatting>
  <conditionalFormatting sqref="H114">
    <cfRule type="cellIs" dxfId="13" priority="14" operator="greaterThan">
      <formula>$G114</formula>
    </cfRule>
  </conditionalFormatting>
  <conditionalFormatting sqref="G114">
    <cfRule type="timePeriod" dxfId="12" priority="13" timePeriod="last7Days">
      <formula>AND(TODAY()-FLOOR(G114,1)&lt;=6,FLOOR(G114,1)&lt;=TODAY())</formula>
    </cfRule>
  </conditionalFormatting>
  <conditionalFormatting sqref="H120">
    <cfRule type="cellIs" dxfId="11" priority="12" operator="greaterThan">
      <formula>$G120</formula>
    </cfRule>
  </conditionalFormatting>
  <conditionalFormatting sqref="G120">
    <cfRule type="timePeriod" dxfId="10" priority="11" timePeriod="last7Days">
      <formula>AND(TODAY()-FLOOR(G120,1)&lt;=6,FLOOR(G120,1)&lt;=TODAY())</formula>
    </cfRule>
  </conditionalFormatting>
  <conditionalFormatting sqref="H123">
    <cfRule type="cellIs" dxfId="9" priority="10" operator="greaterThan">
      <formula>$G123</formula>
    </cfRule>
  </conditionalFormatting>
  <conditionalFormatting sqref="G123">
    <cfRule type="timePeriod" dxfId="8" priority="9" timePeriod="last7Days">
      <formula>AND(TODAY()-FLOOR(G123,1)&lt;=6,FLOOR(G123,1)&lt;=TODAY())</formula>
    </cfRule>
  </conditionalFormatting>
  <conditionalFormatting sqref="H125">
    <cfRule type="cellIs" dxfId="7" priority="8" operator="greaterThan">
      <formula>$G125</formula>
    </cfRule>
  </conditionalFormatting>
  <conditionalFormatting sqref="G125">
    <cfRule type="timePeriod" dxfId="6" priority="7" timePeriod="last7Days">
      <formula>AND(TODAY()-FLOOR(G125,1)&lt;=6,FLOOR(G125,1)&lt;=TODAY())</formula>
    </cfRule>
  </conditionalFormatting>
  <conditionalFormatting sqref="H131">
    <cfRule type="cellIs" dxfId="5" priority="6" operator="greaterThan">
      <formula>$G131</formula>
    </cfRule>
  </conditionalFormatting>
  <conditionalFormatting sqref="G131">
    <cfRule type="timePeriod" dxfId="4" priority="5" timePeriod="last7Days">
      <formula>AND(TODAY()-FLOOR(G131,1)&lt;=6,FLOOR(G131,1)&lt;=TODAY())</formula>
    </cfRule>
  </conditionalFormatting>
  <conditionalFormatting sqref="H138">
    <cfRule type="cellIs" dxfId="3" priority="4" operator="greaterThan">
      <formula>$G138</formula>
    </cfRule>
  </conditionalFormatting>
  <conditionalFormatting sqref="G138">
    <cfRule type="timePeriod" dxfId="2" priority="3" timePeriod="last7Days">
      <formula>AND(TODAY()-FLOOR(G138,1)&lt;=6,FLOOR(G138,1)&lt;=TODAY())</formula>
    </cfRule>
  </conditionalFormatting>
  <conditionalFormatting sqref="H140">
    <cfRule type="cellIs" dxfId="1" priority="2" operator="greaterThan">
      <formula>$G140</formula>
    </cfRule>
  </conditionalFormatting>
  <conditionalFormatting sqref="G140">
    <cfRule type="timePeriod" dxfId="0" priority="1" timePeriod="last7Days">
      <formula>AND(TODAY()-FLOOR(G140,1)&lt;=6,FLOOR(G140,1)&lt;=TODAY())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5"/>
  <sheetViews>
    <sheetView workbookViewId="0">
      <pane xSplit="6" ySplit="2" topLeftCell="H99" activePane="bottomRight" state="frozen"/>
      <selection pane="topRight" activeCell="G1" sqref="G1"/>
      <selection pane="bottomLeft" activeCell="A3" sqref="A3"/>
      <selection pane="bottomRight" activeCell="I109" sqref="I109"/>
    </sheetView>
  </sheetViews>
  <sheetFormatPr defaultColWidth="9.109375" defaultRowHeight="14.4"/>
  <cols>
    <col min="1" max="4" width="5.6640625" style="10" customWidth="1"/>
    <col min="5" max="8" width="17.6640625" style="10" customWidth="1"/>
    <col min="9" max="9" width="22.33203125" style="10" bestFit="1" customWidth="1"/>
    <col min="10" max="12" width="5.6640625" style="10" customWidth="1"/>
    <col min="13" max="13" width="8.33203125" style="10" bestFit="1" customWidth="1"/>
    <col min="14" max="14" width="5.6640625" style="29" customWidth="1"/>
    <col min="15" max="15" width="11.6640625" style="10" customWidth="1"/>
    <col min="16" max="24" width="4.6640625" style="10" customWidth="1"/>
    <col min="25" max="16384" width="9.109375" style="10"/>
  </cols>
  <sheetData>
    <row r="1" spans="1:24" ht="88.5" customHeight="1">
      <c r="A1" s="87" t="s">
        <v>3</v>
      </c>
      <c r="B1" s="82" t="s">
        <v>4</v>
      </c>
      <c r="C1" s="82" t="s">
        <v>6</v>
      </c>
      <c r="D1" s="49" t="s">
        <v>5</v>
      </c>
      <c r="E1" s="82" t="s">
        <v>7</v>
      </c>
      <c r="F1" s="83" t="s">
        <v>8</v>
      </c>
      <c r="G1" s="583" t="s">
        <v>200</v>
      </c>
      <c r="H1" s="585" t="s">
        <v>201</v>
      </c>
      <c r="I1" s="104" t="s">
        <v>203</v>
      </c>
      <c r="J1" s="581" t="s">
        <v>204</v>
      </c>
      <c r="K1" s="587" t="s">
        <v>205</v>
      </c>
      <c r="L1" s="106" t="s">
        <v>206</v>
      </c>
      <c r="M1" s="581" t="s">
        <v>29</v>
      </c>
      <c r="N1" s="581" t="s">
        <v>28</v>
      </c>
      <c r="O1" s="50" t="s">
        <v>207</v>
      </c>
      <c r="P1" s="48" t="s">
        <v>194</v>
      </c>
      <c r="Q1" s="49" t="s">
        <v>25</v>
      </c>
      <c r="R1" s="49" t="s">
        <v>26</v>
      </c>
      <c r="S1" s="50" t="s">
        <v>37</v>
      </c>
      <c r="T1" s="89" t="s">
        <v>213</v>
      </c>
      <c r="U1" s="90" t="s">
        <v>214</v>
      </c>
      <c r="V1" s="90" t="s">
        <v>38</v>
      </c>
      <c r="W1" s="90" t="s">
        <v>215</v>
      </c>
      <c r="X1" s="91" t="s">
        <v>216</v>
      </c>
    </row>
    <row r="2" spans="1:24" ht="15" thickBot="1">
      <c r="A2" s="86"/>
      <c r="B2" s="84"/>
      <c r="C2" s="84"/>
      <c r="D2" s="88"/>
      <c r="E2" s="84"/>
      <c r="F2" s="85"/>
      <c r="G2" s="584"/>
      <c r="H2" s="586"/>
      <c r="I2" s="105"/>
      <c r="J2" s="582"/>
      <c r="K2" s="588"/>
      <c r="L2" s="112">
        <f>SUM(P2:X2)</f>
        <v>50</v>
      </c>
      <c r="M2" s="582"/>
      <c r="N2" s="582"/>
      <c r="O2" s="85">
        <f>SUM(P2:X2)</f>
        <v>50</v>
      </c>
      <c r="P2" s="86"/>
      <c r="Q2" s="84">
        <v>2</v>
      </c>
      <c r="R2" s="84">
        <v>2</v>
      </c>
      <c r="S2" s="85">
        <v>3</v>
      </c>
      <c r="T2" s="86">
        <v>12</v>
      </c>
      <c r="U2" s="84">
        <v>12</v>
      </c>
      <c r="V2" s="84">
        <v>8</v>
      </c>
      <c r="W2" s="84">
        <v>8</v>
      </c>
      <c r="X2" s="85">
        <v>3</v>
      </c>
    </row>
    <row r="3" spans="1:24">
      <c r="A3" s="35">
        <v>1</v>
      </c>
      <c r="B3" s="33" t="s">
        <v>21</v>
      </c>
      <c r="C3" s="33">
        <v>1</v>
      </c>
      <c r="D3" s="33">
        <v>2</v>
      </c>
      <c r="E3" s="33" t="s">
        <v>180</v>
      </c>
      <c r="F3" s="39" t="s">
        <v>50</v>
      </c>
      <c r="G3" s="55">
        <v>42758</v>
      </c>
      <c r="H3" s="14"/>
      <c r="I3" s="14" t="s">
        <v>208</v>
      </c>
      <c r="J3" s="94">
        <v>1</v>
      </c>
      <c r="K3" s="109">
        <v>0.1</v>
      </c>
      <c r="L3" s="94">
        <f>SUM(P3:X3)</f>
        <v>0</v>
      </c>
      <c r="M3" s="15">
        <f t="shared" ref="M3:M40" si="0">L3/$L$2</f>
        <v>0</v>
      </c>
      <c r="N3" s="113">
        <v>1</v>
      </c>
      <c r="O3" s="95">
        <v>42761</v>
      </c>
      <c r="P3" s="3"/>
      <c r="Q3" s="33"/>
      <c r="R3" s="33"/>
      <c r="S3" s="39"/>
      <c r="T3" s="33"/>
      <c r="U3" s="33"/>
      <c r="V3" s="33"/>
      <c r="W3" s="33"/>
      <c r="X3" s="39"/>
    </row>
    <row r="4" spans="1:24">
      <c r="A4" s="36">
        <v>1</v>
      </c>
      <c r="B4" s="30" t="s">
        <v>21</v>
      </c>
      <c r="C4" s="30">
        <v>1</v>
      </c>
      <c r="D4" s="30">
        <v>2</v>
      </c>
      <c r="E4" s="30" t="s">
        <v>180</v>
      </c>
      <c r="F4" s="40" t="s">
        <v>50</v>
      </c>
      <c r="G4" s="53">
        <v>42768</v>
      </c>
      <c r="H4" s="19">
        <v>42768</v>
      </c>
      <c r="I4" s="19" t="s">
        <v>282</v>
      </c>
      <c r="J4" s="92">
        <v>2</v>
      </c>
      <c r="K4" s="110">
        <v>1.9</v>
      </c>
      <c r="L4" s="92">
        <v>7</v>
      </c>
      <c r="M4" s="20">
        <f t="shared" si="0"/>
        <v>0.14000000000000001</v>
      </c>
      <c r="N4" s="114">
        <v>1</v>
      </c>
      <c r="O4" s="37">
        <v>42770</v>
      </c>
      <c r="P4" s="5">
        <v>-4</v>
      </c>
      <c r="Q4" s="30">
        <v>2</v>
      </c>
      <c r="R4" s="30">
        <v>2</v>
      </c>
      <c r="S4" s="40">
        <v>3</v>
      </c>
      <c r="T4" s="30">
        <v>11</v>
      </c>
      <c r="U4" s="30">
        <v>9</v>
      </c>
      <c r="V4" s="30">
        <v>8</v>
      </c>
      <c r="W4" s="30">
        <v>4</v>
      </c>
      <c r="X4" s="40">
        <v>3</v>
      </c>
    </row>
    <row r="5" spans="1:24">
      <c r="A5" s="36">
        <v>2</v>
      </c>
      <c r="B5" s="30" t="s">
        <v>21</v>
      </c>
      <c r="C5" s="30">
        <v>2</v>
      </c>
      <c r="D5" s="30">
        <v>2</v>
      </c>
      <c r="E5" s="30" t="s">
        <v>15</v>
      </c>
      <c r="F5" s="40" t="s">
        <v>83</v>
      </c>
      <c r="G5" s="53">
        <v>42758</v>
      </c>
      <c r="H5" s="19">
        <v>42757</v>
      </c>
      <c r="I5" s="19"/>
      <c r="J5" s="92">
        <v>1</v>
      </c>
      <c r="K5" s="110">
        <v>2</v>
      </c>
      <c r="L5" s="92">
        <f>SUM(P5:X5)</f>
        <v>28</v>
      </c>
      <c r="M5" s="20">
        <f t="shared" si="0"/>
        <v>0.56000000000000005</v>
      </c>
      <c r="N5" s="114">
        <v>3</v>
      </c>
      <c r="O5" s="37">
        <v>42761</v>
      </c>
      <c r="P5" s="5">
        <v>0</v>
      </c>
      <c r="Q5" s="30">
        <v>0</v>
      </c>
      <c r="R5" s="30">
        <v>2</v>
      </c>
      <c r="S5" s="40">
        <v>3</v>
      </c>
      <c r="T5" s="6">
        <v>8</v>
      </c>
      <c r="U5" s="6">
        <v>6</v>
      </c>
      <c r="V5" s="6">
        <v>4</v>
      </c>
      <c r="W5" s="6">
        <v>2</v>
      </c>
      <c r="X5" s="22">
        <v>3</v>
      </c>
    </row>
    <row r="6" spans="1:24">
      <c r="A6" s="36">
        <v>3</v>
      </c>
      <c r="B6" s="30" t="s">
        <v>21</v>
      </c>
      <c r="C6" s="30">
        <v>3</v>
      </c>
      <c r="D6" s="30">
        <v>1</v>
      </c>
      <c r="E6" s="30" t="s">
        <v>48</v>
      </c>
      <c r="F6" s="40" t="s">
        <v>84</v>
      </c>
      <c r="G6" s="53">
        <v>42758</v>
      </c>
      <c r="H6" s="19"/>
      <c r="I6" s="19" t="s">
        <v>208</v>
      </c>
      <c r="J6" s="92">
        <v>1</v>
      </c>
      <c r="K6" s="110">
        <v>2</v>
      </c>
      <c r="L6" s="92">
        <f>SUM(P6:X6)</f>
        <v>0</v>
      </c>
      <c r="M6" s="20">
        <f t="shared" si="0"/>
        <v>0</v>
      </c>
      <c r="N6" s="114">
        <v>1</v>
      </c>
      <c r="O6" s="37">
        <v>42761</v>
      </c>
      <c r="P6" s="5"/>
      <c r="Q6" s="30"/>
      <c r="R6" s="30"/>
      <c r="S6" s="40"/>
      <c r="T6" s="6"/>
      <c r="U6" s="6"/>
      <c r="V6" s="6"/>
      <c r="W6" s="6"/>
      <c r="X6" s="22"/>
    </row>
    <row r="7" spans="1:24">
      <c r="A7" s="36">
        <v>4</v>
      </c>
      <c r="B7" s="6" t="s">
        <v>21</v>
      </c>
      <c r="C7" s="6">
        <v>4</v>
      </c>
      <c r="D7" s="30">
        <v>2</v>
      </c>
      <c r="E7" s="6" t="s">
        <v>66</v>
      </c>
      <c r="F7" s="22" t="s">
        <v>85</v>
      </c>
      <c r="G7" s="53">
        <v>42758</v>
      </c>
      <c r="H7" s="19"/>
      <c r="I7" s="19" t="s">
        <v>208</v>
      </c>
      <c r="J7" s="92">
        <v>1</v>
      </c>
      <c r="K7" s="110">
        <v>0.1</v>
      </c>
      <c r="L7" s="92">
        <f>SUM(P7:X7)</f>
        <v>0</v>
      </c>
      <c r="M7" s="20">
        <f t="shared" si="0"/>
        <v>0</v>
      </c>
      <c r="N7" s="114">
        <v>1</v>
      </c>
      <c r="O7" s="37">
        <v>42761</v>
      </c>
      <c r="P7" s="5"/>
      <c r="Q7" s="30"/>
      <c r="R7" s="30"/>
      <c r="S7" s="40"/>
      <c r="T7" s="6"/>
      <c r="U7" s="6"/>
      <c r="V7" s="6"/>
      <c r="W7" s="6"/>
      <c r="X7" s="22"/>
    </row>
    <row r="8" spans="1:24">
      <c r="A8" s="36">
        <v>4</v>
      </c>
      <c r="B8" s="6" t="s">
        <v>21</v>
      </c>
      <c r="C8" s="6">
        <v>4</v>
      </c>
      <c r="D8" s="30">
        <v>2</v>
      </c>
      <c r="E8" s="6" t="s">
        <v>66</v>
      </c>
      <c r="F8" s="22" t="s">
        <v>85</v>
      </c>
      <c r="G8" s="53">
        <v>42768</v>
      </c>
      <c r="H8" s="19">
        <v>42768</v>
      </c>
      <c r="I8" s="19" t="s">
        <v>282</v>
      </c>
      <c r="J8" s="92">
        <v>2</v>
      </c>
      <c r="K8" s="110">
        <v>0.6</v>
      </c>
      <c r="L8" s="92">
        <v>7</v>
      </c>
      <c r="M8" s="20">
        <f t="shared" si="0"/>
        <v>0.14000000000000001</v>
      </c>
      <c r="N8" s="114">
        <v>1</v>
      </c>
      <c r="O8" s="37">
        <v>42770</v>
      </c>
      <c r="P8" s="5">
        <v>-4</v>
      </c>
      <c r="Q8" s="30">
        <v>2</v>
      </c>
      <c r="R8" s="30">
        <v>2</v>
      </c>
      <c r="S8" s="40">
        <v>3</v>
      </c>
      <c r="T8" s="6">
        <v>8</v>
      </c>
      <c r="U8" s="6">
        <v>10</v>
      </c>
      <c r="V8" s="6">
        <v>8</v>
      </c>
      <c r="W8" s="6">
        <v>3</v>
      </c>
      <c r="X8" s="22">
        <v>3</v>
      </c>
    </row>
    <row r="9" spans="1:24">
      <c r="A9" s="36">
        <v>4</v>
      </c>
      <c r="B9" s="6" t="s">
        <v>21</v>
      </c>
      <c r="C9" s="6">
        <v>4</v>
      </c>
      <c r="D9" s="30">
        <v>2</v>
      </c>
      <c r="E9" s="6" t="s">
        <v>66</v>
      </c>
      <c r="F9" s="22" t="s">
        <v>85</v>
      </c>
      <c r="G9" s="53">
        <v>42789</v>
      </c>
      <c r="H9" s="19">
        <v>42789</v>
      </c>
      <c r="I9" s="19"/>
      <c r="J9" s="92">
        <v>3</v>
      </c>
      <c r="K9" s="110">
        <v>1.3</v>
      </c>
      <c r="L9" s="92">
        <f>SUM(P9:X9)</f>
        <v>32</v>
      </c>
      <c r="M9" s="20">
        <f>L9/$L$2</f>
        <v>0.64</v>
      </c>
      <c r="N9" s="114" t="s">
        <v>32</v>
      </c>
      <c r="O9" s="37">
        <v>42790</v>
      </c>
      <c r="P9" s="5">
        <v>-2</v>
      </c>
      <c r="Q9" s="30">
        <v>2</v>
      </c>
      <c r="R9" s="30">
        <v>-2</v>
      </c>
      <c r="S9" s="40">
        <v>3</v>
      </c>
      <c r="T9" s="6">
        <v>7</v>
      </c>
      <c r="U9" s="6">
        <v>9</v>
      </c>
      <c r="V9" s="6">
        <v>8</v>
      </c>
      <c r="W9" s="6">
        <v>4</v>
      </c>
      <c r="X9" s="22">
        <v>3</v>
      </c>
    </row>
    <row r="10" spans="1:24">
      <c r="A10" s="36">
        <v>5</v>
      </c>
      <c r="B10" s="6" t="s">
        <v>21</v>
      </c>
      <c r="C10" s="6">
        <v>5</v>
      </c>
      <c r="D10" s="30">
        <v>1</v>
      </c>
      <c r="E10" s="6" t="s">
        <v>19</v>
      </c>
      <c r="F10" s="22" t="s">
        <v>86</v>
      </c>
      <c r="G10" s="53">
        <v>42758</v>
      </c>
      <c r="H10" s="6"/>
      <c r="I10" s="19" t="s">
        <v>208</v>
      </c>
      <c r="J10" s="92">
        <v>1</v>
      </c>
      <c r="K10" s="110">
        <v>0.05</v>
      </c>
      <c r="L10" s="92">
        <f t="shared" ref="L10:L23" si="1">SUM(P10:X10)</f>
        <v>0</v>
      </c>
      <c r="M10" s="20">
        <f t="shared" si="0"/>
        <v>0</v>
      </c>
      <c r="N10" s="114">
        <v>1</v>
      </c>
      <c r="O10" s="37">
        <v>42761</v>
      </c>
      <c r="P10" s="5"/>
      <c r="Q10" s="6"/>
      <c r="R10" s="6"/>
      <c r="S10" s="22"/>
      <c r="T10" s="6"/>
      <c r="U10" s="6"/>
      <c r="V10" s="6"/>
      <c r="W10" s="6"/>
      <c r="X10" s="22"/>
    </row>
    <row r="11" spans="1:24">
      <c r="A11" s="36">
        <v>5</v>
      </c>
      <c r="B11" s="6" t="s">
        <v>21</v>
      </c>
      <c r="C11" s="6">
        <v>5</v>
      </c>
      <c r="D11" s="30">
        <v>1</v>
      </c>
      <c r="E11" s="6" t="s">
        <v>19</v>
      </c>
      <c r="F11" s="22" t="s">
        <v>86</v>
      </c>
      <c r="G11" s="53">
        <v>42763</v>
      </c>
      <c r="H11" s="19">
        <v>42763</v>
      </c>
      <c r="I11" s="19" t="s">
        <v>217</v>
      </c>
      <c r="J11" s="92">
        <v>2</v>
      </c>
      <c r="K11" s="110">
        <v>0.1</v>
      </c>
      <c r="L11" s="92">
        <f t="shared" si="1"/>
        <v>1</v>
      </c>
      <c r="M11" s="20">
        <f t="shared" si="0"/>
        <v>0.02</v>
      </c>
      <c r="N11" s="114">
        <v>1</v>
      </c>
      <c r="O11" s="37">
        <v>42770</v>
      </c>
      <c r="P11" s="5">
        <v>-3</v>
      </c>
      <c r="Q11" s="6">
        <v>2</v>
      </c>
      <c r="R11" s="6">
        <v>2</v>
      </c>
      <c r="S11" s="22">
        <v>0</v>
      </c>
      <c r="T11" s="6">
        <v>0</v>
      </c>
      <c r="U11" s="6">
        <v>0</v>
      </c>
      <c r="V11" s="6">
        <v>0</v>
      </c>
      <c r="W11" s="6">
        <v>0</v>
      </c>
      <c r="X11" s="22">
        <v>0</v>
      </c>
    </row>
    <row r="12" spans="1:24">
      <c r="A12" s="36">
        <v>5</v>
      </c>
      <c r="B12" s="6" t="s">
        <v>21</v>
      </c>
      <c r="C12" s="6">
        <v>5</v>
      </c>
      <c r="D12" s="30">
        <v>1</v>
      </c>
      <c r="E12" s="6" t="s">
        <v>19</v>
      </c>
      <c r="F12" s="22" t="s">
        <v>86</v>
      </c>
      <c r="G12" s="53">
        <v>42779</v>
      </c>
      <c r="H12" s="19">
        <v>42779</v>
      </c>
      <c r="I12" s="19" t="s">
        <v>289</v>
      </c>
      <c r="J12" s="92">
        <v>3</v>
      </c>
      <c r="K12" s="110">
        <v>0.05</v>
      </c>
      <c r="L12" s="92">
        <f>SUM(P12:X12)</f>
        <v>6</v>
      </c>
      <c r="M12" s="20">
        <f>L12/$L$2</f>
        <v>0.12</v>
      </c>
      <c r="N12" s="114">
        <v>1</v>
      </c>
      <c r="O12" s="37">
        <v>42787</v>
      </c>
      <c r="P12" s="5"/>
      <c r="Q12" s="6">
        <v>2</v>
      </c>
      <c r="R12" s="6">
        <v>2</v>
      </c>
      <c r="S12" s="22">
        <v>2</v>
      </c>
      <c r="T12" s="6"/>
      <c r="U12" s="6"/>
      <c r="V12" s="6"/>
      <c r="W12" s="6"/>
      <c r="X12" s="22"/>
    </row>
    <row r="13" spans="1:24">
      <c r="A13" s="36">
        <v>5</v>
      </c>
      <c r="B13" s="6" t="s">
        <v>21</v>
      </c>
      <c r="C13" s="6">
        <v>5</v>
      </c>
      <c r="D13" s="30">
        <v>1</v>
      </c>
      <c r="E13" s="6" t="s">
        <v>19</v>
      </c>
      <c r="F13" s="22" t="s">
        <v>86</v>
      </c>
      <c r="G13" s="53">
        <v>42792</v>
      </c>
      <c r="H13" s="19">
        <v>42792</v>
      </c>
      <c r="I13" s="19"/>
      <c r="J13" s="92">
        <v>4</v>
      </c>
      <c r="K13" s="110">
        <v>1.8</v>
      </c>
      <c r="L13" s="92">
        <f>SUM(P13:X13)</f>
        <v>35</v>
      </c>
      <c r="M13" s="20">
        <f>L13/$L$2</f>
        <v>0.7</v>
      </c>
      <c r="N13" s="114" t="s">
        <v>30</v>
      </c>
      <c r="O13" s="37">
        <v>42801</v>
      </c>
      <c r="P13" s="5">
        <v>-6</v>
      </c>
      <c r="Q13" s="6">
        <v>2</v>
      </c>
      <c r="R13" s="6">
        <v>2</v>
      </c>
      <c r="S13" s="22">
        <v>3</v>
      </c>
      <c r="T13" s="6">
        <v>10</v>
      </c>
      <c r="U13" s="6">
        <v>9</v>
      </c>
      <c r="V13" s="6">
        <v>8</v>
      </c>
      <c r="W13" s="6">
        <v>4</v>
      </c>
      <c r="X13" s="22">
        <v>3</v>
      </c>
    </row>
    <row r="14" spans="1:24">
      <c r="A14" s="36">
        <v>6</v>
      </c>
      <c r="B14" s="6" t="s">
        <v>21</v>
      </c>
      <c r="C14" s="6">
        <v>6</v>
      </c>
      <c r="D14" s="30">
        <v>2</v>
      </c>
      <c r="E14" s="6" t="s">
        <v>179</v>
      </c>
      <c r="F14" s="22" t="s">
        <v>87</v>
      </c>
      <c r="G14" s="53">
        <v>42758</v>
      </c>
      <c r="H14" s="19">
        <v>42757</v>
      </c>
      <c r="I14" s="19"/>
      <c r="J14" s="92">
        <v>1</v>
      </c>
      <c r="K14" s="110">
        <v>2</v>
      </c>
      <c r="L14" s="92">
        <f t="shared" si="1"/>
        <v>44</v>
      </c>
      <c r="M14" s="20">
        <f t="shared" si="0"/>
        <v>0.88</v>
      </c>
      <c r="N14" s="114">
        <v>5</v>
      </c>
      <c r="O14" s="37">
        <v>42761</v>
      </c>
      <c r="P14" s="5">
        <v>-4</v>
      </c>
      <c r="Q14" s="6">
        <v>2</v>
      </c>
      <c r="R14" s="6">
        <v>2</v>
      </c>
      <c r="S14" s="22">
        <v>3</v>
      </c>
      <c r="T14" s="6">
        <v>12</v>
      </c>
      <c r="U14" s="6">
        <v>12</v>
      </c>
      <c r="V14" s="6">
        <v>8</v>
      </c>
      <c r="W14" s="6">
        <v>6</v>
      </c>
      <c r="X14" s="22">
        <v>3</v>
      </c>
    </row>
    <row r="15" spans="1:24">
      <c r="A15" s="36">
        <v>7</v>
      </c>
      <c r="B15" s="6" t="s">
        <v>21</v>
      </c>
      <c r="C15" s="6">
        <v>7</v>
      </c>
      <c r="D15" s="30">
        <v>1</v>
      </c>
      <c r="E15" s="6" t="s">
        <v>9</v>
      </c>
      <c r="F15" s="22" t="s">
        <v>88</v>
      </c>
      <c r="G15" s="53">
        <v>42758</v>
      </c>
      <c r="H15" s="19">
        <v>42758</v>
      </c>
      <c r="I15" s="19"/>
      <c r="J15" s="92">
        <v>1</v>
      </c>
      <c r="K15" s="110">
        <v>2</v>
      </c>
      <c r="L15" s="92">
        <f t="shared" si="1"/>
        <v>30</v>
      </c>
      <c r="M15" s="20">
        <f t="shared" si="0"/>
        <v>0.6</v>
      </c>
      <c r="N15" s="114">
        <v>3</v>
      </c>
      <c r="O15" s="37">
        <v>42761</v>
      </c>
      <c r="P15" s="5">
        <v>-7</v>
      </c>
      <c r="Q15" s="6">
        <v>1</v>
      </c>
      <c r="R15" s="6">
        <v>2</v>
      </c>
      <c r="S15" s="22">
        <v>3</v>
      </c>
      <c r="T15" s="6">
        <v>9</v>
      </c>
      <c r="U15" s="6">
        <v>6</v>
      </c>
      <c r="V15" s="6">
        <v>8</v>
      </c>
      <c r="W15" s="6">
        <v>5</v>
      </c>
      <c r="X15" s="22">
        <v>3</v>
      </c>
    </row>
    <row r="16" spans="1:24">
      <c r="A16" s="36">
        <v>8</v>
      </c>
      <c r="B16" s="6" t="s">
        <v>21</v>
      </c>
      <c r="C16" s="6">
        <v>8</v>
      </c>
      <c r="D16" s="30">
        <v>2</v>
      </c>
      <c r="E16" s="6" t="s">
        <v>0</v>
      </c>
      <c r="F16" s="22" t="s">
        <v>89</v>
      </c>
      <c r="G16" s="53">
        <v>42758</v>
      </c>
      <c r="H16" s="19">
        <v>42756</v>
      </c>
      <c r="I16" s="19" t="s">
        <v>217</v>
      </c>
      <c r="J16" s="92">
        <v>1</v>
      </c>
      <c r="K16" s="110">
        <v>0.06</v>
      </c>
      <c r="L16" s="92">
        <f t="shared" si="1"/>
        <v>13</v>
      </c>
      <c r="M16" s="20">
        <f t="shared" si="0"/>
        <v>0.26</v>
      </c>
      <c r="N16" s="114">
        <v>1</v>
      </c>
      <c r="O16" s="37">
        <v>42761</v>
      </c>
      <c r="P16" s="5">
        <v>-30</v>
      </c>
      <c r="Q16" s="30">
        <v>2</v>
      </c>
      <c r="R16" s="6">
        <v>2</v>
      </c>
      <c r="S16" s="40">
        <v>2</v>
      </c>
      <c r="T16" s="30">
        <v>8</v>
      </c>
      <c r="U16" s="6">
        <v>10</v>
      </c>
      <c r="V16" s="6">
        <v>8</v>
      </c>
      <c r="W16" s="6">
        <v>8</v>
      </c>
      <c r="X16" s="22">
        <v>3</v>
      </c>
    </row>
    <row r="17" spans="1:24">
      <c r="A17" s="36">
        <v>8</v>
      </c>
      <c r="B17" s="6" t="s">
        <v>21</v>
      </c>
      <c r="C17" s="6">
        <v>8</v>
      </c>
      <c r="D17" s="30">
        <v>2</v>
      </c>
      <c r="E17" s="6" t="s">
        <v>0</v>
      </c>
      <c r="F17" s="22" t="s">
        <v>89</v>
      </c>
      <c r="G17" s="53">
        <v>42767</v>
      </c>
      <c r="H17" s="19">
        <v>42767</v>
      </c>
      <c r="I17" s="19"/>
      <c r="J17" s="92">
        <v>2</v>
      </c>
      <c r="K17" s="110">
        <v>1.94</v>
      </c>
      <c r="L17" s="92">
        <f t="shared" si="1"/>
        <v>37</v>
      </c>
      <c r="M17" s="20">
        <f t="shared" si="0"/>
        <v>0.74</v>
      </c>
      <c r="N17" s="114">
        <v>4</v>
      </c>
      <c r="O17" s="37">
        <v>42770</v>
      </c>
      <c r="P17" s="5">
        <v>-2</v>
      </c>
      <c r="Q17" s="30">
        <v>2</v>
      </c>
      <c r="R17" s="6">
        <v>2</v>
      </c>
      <c r="S17" s="40">
        <v>3</v>
      </c>
      <c r="T17" s="30">
        <v>10</v>
      </c>
      <c r="U17" s="6">
        <v>6</v>
      </c>
      <c r="V17" s="6">
        <v>8</v>
      </c>
      <c r="W17" s="6">
        <v>5</v>
      </c>
      <c r="X17" s="22">
        <v>3</v>
      </c>
    </row>
    <row r="18" spans="1:24">
      <c r="A18" s="36">
        <v>9</v>
      </c>
      <c r="B18" s="6" t="s">
        <v>21</v>
      </c>
      <c r="C18" s="6">
        <v>9</v>
      </c>
      <c r="D18" s="30">
        <v>2</v>
      </c>
      <c r="E18" s="6" t="s">
        <v>10</v>
      </c>
      <c r="F18" s="22" t="s">
        <v>90</v>
      </c>
      <c r="G18" s="53">
        <v>42758</v>
      </c>
      <c r="H18" s="19"/>
      <c r="I18" s="19" t="s">
        <v>208</v>
      </c>
      <c r="J18" s="92">
        <v>1</v>
      </c>
      <c r="K18" s="110">
        <v>0.08</v>
      </c>
      <c r="L18" s="92">
        <f t="shared" si="1"/>
        <v>0</v>
      </c>
      <c r="M18" s="20">
        <f t="shared" si="0"/>
        <v>0</v>
      </c>
      <c r="N18" s="114">
        <v>1</v>
      </c>
      <c r="O18" s="37">
        <v>42761</v>
      </c>
      <c r="P18" s="5"/>
      <c r="Q18" s="30"/>
      <c r="R18" s="6"/>
      <c r="S18" s="40"/>
      <c r="T18" s="6"/>
      <c r="U18" s="6"/>
      <c r="V18" s="6"/>
      <c r="W18" s="6"/>
      <c r="X18" s="22"/>
    </row>
    <row r="19" spans="1:24">
      <c r="A19" s="36">
        <v>9</v>
      </c>
      <c r="B19" s="6" t="s">
        <v>21</v>
      </c>
      <c r="C19" s="6">
        <v>9</v>
      </c>
      <c r="D19" s="30">
        <v>2</v>
      </c>
      <c r="E19" s="6" t="s">
        <v>10</v>
      </c>
      <c r="F19" s="22" t="s">
        <v>90</v>
      </c>
      <c r="G19" s="53">
        <v>42766</v>
      </c>
      <c r="H19" s="19">
        <v>42766</v>
      </c>
      <c r="I19" s="19" t="s">
        <v>217</v>
      </c>
      <c r="J19" s="92">
        <v>2</v>
      </c>
      <c r="K19" s="110">
        <v>1.92</v>
      </c>
      <c r="L19" s="92">
        <f t="shared" si="1"/>
        <v>1</v>
      </c>
      <c r="M19" s="20">
        <f t="shared" si="0"/>
        <v>0.02</v>
      </c>
      <c r="N19" s="114">
        <v>1</v>
      </c>
      <c r="O19" s="37">
        <v>42770</v>
      </c>
      <c r="P19" s="5">
        <v>-18</v>
      </c>
      <c r="Q19" s="30">
        <v>2</v>
      </c>
      <c r="R19" s="6">
        <v>2</v>
      </c>
      <c r="S19" s="40">
        <v>2</v>
      </c>
      <c r="T19" s="6">
        <v>6</v>
      </c>
      <c r="U19" s="6">
        <v>0</v>
      </c>
      <c r="V19" s="6">
        <v>0</v>
      </c>
      <c r="W19" s="6">
        <v>4</v>
      </c>
      <c r="X19" s="22">
        <v>3</v>
      </c>
    </row>
    <row r="20" spans="1:24">
      <c r="A20" s="36">
        <v>10</v>
      </c>
      <c r="B20" s="6" t="s">
        <v>21</v>
      </c>
      <c r="C20" s="6">
        <v>10</v>
      </c>
      <c r="D20" s="30">
        <v>1</v>
      </c>
      <c r="E20" s="6" t="s">
        <v>14</v>
      </c>
      <c r="F20" s="22" t="s">
        <v>91</v>
      </c>
      <c r="G20" s="53">
        <v>42758</v>
      </c>
      <c r="H20" s="19">
        <v>42757</v>
      </c>
      <c r="I20" s="19"/>
      <c r="J20" s="92">
        <v>1</v>
      </c>
      <c r="K20" s="110">
        <v>2</v>
      </c>
      <c r="L20" s="92">
        <f t="shared" si="1"/>
        <v>30</v>
      </c>
      <c r="M20" s="20">
        <f t="shared" si="0"/>
        <v>0.6</v>
      </c>
      <c r="N20" s="114">
        <v>3</v>
      </c>
      <c r="O20" s="37">
        <v>42761</v>
      </c>
      <c r="P20" s="5">
        <v>-4</v>
      </c>
      <c r="Q20" s="30">
        <v>2</v>
      </c>
      <c r="R20" s="6">
        <v>2</v>
      </c>
      <c r="S20" s="40">
        <v>3</v>
      </c>
      <c r="T20" s="6">
        <v>6</v>
      </c>
      <c r="U20" s="6">
        <v>4</v>
      </c>
      <c r="V20" s="6">
        <v>6</v>
      </c>
      <c r="W20" s="6">
        <v>8</v>
      </c>
      <c r="X20" s="22">
        <v>3</v>
      </c>
    </row>
    <row r="21" spans="1:24">
      <c r="A21" s="36">
        <v>11</v>
      </c>
      <c r="B21" s="6" t="s">
        <v>21</v>
      </c>
      <c r="C21" s="6">
        <v>11</v>
      </c>
      <c r="D21" s="30">
        <v>1</v>
      </c>
      <c r="E21" s="6" t="s">
        <v>177</v>
      </c>
      <c r="F21" s="22" t="s">
        <v>44</v>
      </c>
      <c r="G21" s="53">
        <v>42758</v>
      </c>
      <c r="H21" s="19">
        <v>42759</v>
      </c>
      <c r="I21" s="19"/>
      <c r="J21" s="92">
        <v>1</v>
      </c>
      <c r="K21" s="110">
        <v>2</v>
      </c>
      <c r="L21" s="92">
        <f t="shared" si="1"/>
        <v>36</v>
      </c>
      <c r="M21" s="20">
        <f t="shared" si="0"/>
        <v>0.72</v>
      </c>
      <c r="N21" s="114">
        <v>4</v>
      </c>
      <c r="O21" s="37">
        <v>42763</v>
      </c>
      <c r="P21" s="5">
        <v>-10</v>
      </c>
      <c r="Q21" s="30">
        <v>2</v>
      </c>
      <c r="R21" s="30">
        <v>2</v>
      </c>
      <c r="S21" s="40">
        <v>3</v>
      </c>
      <c r="T21" s="6">
        <v>11</v>
      </c>
      <c r="U21" s="6">
        <v>9</v>
      </c>
      <c r="V21" s="6">
        <v>8</v>
      </c>
      <c r="W21" s="6">
        <v>8</v>
      </c>
      <c r="X21" s="22">
        <v>3</v>
      </c>
    </row>
    <row r="22" spans="1:24">
      <c r="A22" s="36">
        <v>12</v>
      </c>
      <c r="B22" s="6" t="s">
        <v>21</v>
      </c>
      <c r="C22" s="6">
        <v>12</v>
      </c>
      <c r="D22" s="30">
        <v>2</v>
      </c>
      <c r="E22" s="6" t="s">
        <v>81</v>
      </c>
      <c r="F22" s="22" t="s">
        <v>92</v>
      </c>
      <c r="G22" s="53">
        <v>42758</v>
      </c>
      <c r="H22" s="19">
        <v>42757</v>
      </c>
      <c r="I22" s="19"/>
      <c r="J22" s="92">
        <v>1</v>
      </c>
      <c r="K22" s="110">
        <v>2</v>
      </c>
      <c r="L22" s="92">
        <f t="shared" si="1"/>
        <v>30</v>
      </c>
      <c r="M22" s="20">
        <f t="shared" si="0"/>
        <v>0.6</v>
      </c>
      <c r="N22" s="114">
        <v>3</v>
      </c>
      <c r="O22" s="37">
        <v>42763</v>
      </c>
      <c r="P22" s="5">
        <v>-4</v>
      </c>
      <c r="Q22" s="6">
        <v>1</v>
      </c>
      <c r="R22" s="6">
        <v>2</v>
      </c>
      <c r="S22" s="22">
        <v>3</v>
      </c>
      <c r="T22" s="6">
        <v>9</v>
      </c>
      <c r="U22" s="6">
        <v>4</v>
      </c>
      <c r="V22" s="6">
        <v>8</v>
      </c>
      <c r="W22" s="6">
        <v>4</v>
      </c>
      <c r="X22" s="22">
        <v>3</v>
      </c>
    </row>
    <row r="23" spans="1:24">
      <c r="A23" s="36">
        <v>13</v>
      </c>
      <c r="B23" s="6" t="s">
        <v>21</v>
      </c>
      <c r="C23" s="6">
        <v>13</v>
      </c>
      <c r="D23" s="30">
        <v>2</v>
      </c>
      <c r="E23" s="6" t="s">
        <v>93</v>
      </c>
      <c r="F23" s="22" t="s">
        <v>41</v>
      </c>
      <c r="G23" s="53">
        <v>42758</v>
      </c>
      <c r="H23" s="19"/>
      <c r="I23" s="19" t="s">
        <v>208</v>
      </c>
      <c r="J23" s="92">
        <v>1</v>
      </c>
      <c r="K23" s="110">
        <v>0.1</v>
      </c>
      <c r="L23" s="92">
        <f t="shared" si="1"/>
        <v>0</v>
      </c>
      <c r="M23" s="20">
        <f t="shared" si="0"/>
        <v>0</v>
      </c>
      <c r="N23" s="114">
        <v>1</v>
      </c>
      <c r="O23" s="37">
        <v>42761</v>
      </c>
      <c r="P23" s="5"/>
      <c r="Q23" s="6"/>
      <c r="R23" s="6"/>
      <c r="S23" s="22"/>
      <c r="T23" s="6"/>
      <c r="U23" s="6"/>
      <c r="V23" s="6"/>
      <c r="W23" s="6"/>
      <c r="X23" s="22"/>
    </row>
    <row r="24" spans="1:24">
      <c r="A24" s="36">
        <v>13</v>
      </c>
      <c r="B24" s="6" t="s">
        <v>21</v>
      </c>
      <c r="C24" s="6">
        <v>13</v>
      </c>
      <c r="D24" s="30">
        <v>2</v>
      </c>
      <c r="E24" s="6" t="s">
        <v>93</v>
      </c>
      <c r="F24" s="22" t="s">
        <v>41</v>
      </c>
      <c r="G24" s="53">
        <v>42768</v>
      </c>
      <c r="H24" s="19">
        <v>42768</v>
      </c>
      <c r="I24" s="19" t="s">
        <v>282</v>
      </c>
      <c r="J24" s="92">
        <v>2</v>
      </c>
      <c r="K24" s="110">
        <v>0.17</v>
      </c>
      <c r="L24" s="92">
        <v>6</v>
      </c>
      <c r="M24" s="20">
        <f t="shared" si="0"/>
        <v>0.12</v>
      </c>
      <c r="N24" s="114">
        <v>4</v>
      </c>
      <c r="O24" s="37">
        <v>42770</v>
      </c>
      <c r="P24" s="5">
        <v>-4</v>
      </c>
      <c r="Q24" s="6">
        <v>2</v>
      </c>
      <c r="R24" s="6">
        <v>2</v>
      </c>
      <c r="S24" s="22">
        <v>2</v>
      </c>
      <c r="T24" s="6">
        <v>11</v>
      </c>
      <c r="U24" s="6">
        <v>10</v>
      </c>
      <c r="V24" s="6">
        <v>8</v>
      </c>
      <c r="W24" s="6">
        <v>4</v>
      </c>
      <c r="X24" s="22">
        <v>3</v>
      </c>
    </row>
    <row r="25" spans="1:24">
      <c r="A25" s="36">
        <v>13</v>
      </c>
      <c r="B25" s="6" t="s">
        <v>21</v>
      </c>
      <c r="C25" s="6">
        <v>13</v>
      </c>
      <c r="D25" s="30">
        <v>2</v>
      </c>
      <c r="E25" s="6" t="s">
        <v>93</v>
      </c>
      <c r="F25" s="22" t="s">
        <v>41</v>
      </c>
      <c r="G25" s="53">
        <v>42785</v>
      </c>
      <c r="H25" s="19">
        <v>42785</v>
      </c>
      <c r="I25" s="19"/>
      <c r="J25" s="92">
        <v>3</v>
      </c>
      <c r="K25" s="110">
        <v>1.73</v>
      </c>
      <c r="L25" s="92">
        <f>SUM(P25:X25)</f>
        <v>38</v>
      </c>
      <c r="M25" s="20">
        <f>L25/$L$2</f>
        <v>0.76</v>
      </c>
      <c r="N25" s="114">
        <v>4</v>
      </c>
      <c r="O25" s="37">
        <v>42787</v>
      </c>
      <c r="P25" s="5">
        <v>-1</v>
      </c>
      <c r="Q25" s="6">
        <v>2</v>
      </c>
      <c r="R25" s="6">
        <v>2</v>
      </c>
      <c r="S25" s="22">
        <v>2</v>
      </c>
      <c r="T25" s="6">
        <v>10</v>
      </c>
      <c r="U25" s="6">
        <v>8</v>
      </c>
      <c r="V25" s="6">
        <v>8</v>
      </c>
      <c r="W25" s="6">
        <v>4</v>
      </c>
      <c r="X25" s="22">
        <v>3</v>
      </c>
    </row>
    <row r="26" spans="1:24">
      <c r="A26" s="36">
        <v>14</v>
      </c>
      <c r="B26" s="6" t="s">
        <v>21</v>
      </c>
      <c r="C26" s="6">
        <v>14</v>
      </c>
      <c r="D26" s="30">
        <v>1</v>
      </c>
      <c r="E26" s="6" t="s">
        <v>11</v>
      </c>
      <c r="F26" s="22" t="s">
        <v>94</v>
      </c>
      <c r="G26" s="107">
        <v>42758</v>
      </c>
      <c r="H26" s="19">
        <v>42757</v>
      </c>
      <c r="I26" s="19"/>
      <c r="J26" s="92">
        <v>1</v>
      </c>
      <c r="K26" s="110">
        <v>2</v>
      </c>
      <c r="L26" s="92">
        <f>SUM(P26:X26)</f>
        <v>39</v>
      </c>
      <c r="M26" s="20">
        <f t="shared" si="0"/>
        <v>0.78</v>
      </c>
      <c r="N26" s="114">
        <v>4</v>
      </c>
      <c r="O26" s="37">
        <v>42766</v>
      </c>
      <c r="P26" s="5">
        <v>0</v>
      </c>
      <c r="Q26" s="6">
        <v>2</v>
      </c>
      <c r="R26" s="6">
        <v>2</v>
      </c>
      <c r="S26" s="22">
        <v>3</v>
      </c>
      <c r="T26" s="6">
        <v>10</v>
      </c>
      <c r="U26" s="6">
        <v>6</v>
      </c>
      <c r="V26" s="6">
        <v>8</v>
      </c>
      <c r="W26" s="6">
        <v>5</v>
      </c>
      <c r="X26" s="22">
        <v>3</v>
      </c>
    </row>
    <row r="27" spans="1:24">
      <c r="A27" s="36">
        <v>15</v>
      </c>
      <c r="B27" s="6" t="s">
        <v>21</v>
      </c>
      <c r="C27" s="6">
        <v>15</v>
      </c>
      <c r="D27" s="30">
        <v>2</v>
      </c>
      <c r="E27" s="6" t="s">
        <v>79</v>
      </c>
      <c r="F27" s="22" t="s">
        <v>95</v>
      </c>
      <c r="G27" s="53">
        <v>42758</v>
      </c>
      <c r="H27" s="19">
        <v>42756</v>
      </c>
      <c r="I27" s="19"/>
      <c r="J27" s="92">
        <v>1</v>
      </c>
      <c r="K27" s="110">
        <v>2</v>
      </c>
      <c r="L27" s="92">
        <f>SUM(P27:X27)</f>
        <v>48</v>
      </c>
      <c r="M27" s="20">
        <f t="shared" si="0"/>
        <v>0.96</v>
      </c>
      <c r="N27" s="114" t="s">
        <v>36</v>
      </c>
      <c r="O27" s="37">
        <v>42766</v>
      </c>
      <c r="P27" s="5">
        <v>0</v>
      </c>
      <c r="Q27" s="6">
        <v>2</v>
      </c>
      <c r="R27" s="6">
        <v>2</v>
      </c>
      <c r="S27" s="22">
        <v>3</v>
      </c>
      <c r="T27" s="6">
        <v>11</v>
      </c>
      <c r="U27" s="6">
        <v>12</v>
      </c>
      <c r="V27" s="6">
        <v>8</v>
      </c>
      <c r="W27" s="6">
        <v>7</v>
      </c>
      <c r="X27" s="22">
        <v>3</v>
      </c>
    </row>
    <row r="28" spans="1:24">
      <c r="A28" s="36">
        <v>16</v>
      </c>
      <c r="B28" s="6" t="s">
        <v>21</v>
      </c>
      <c r="C28" s="6">
        <v>16</v>
      </c>
      <c r="D28" s="30">
        <v>1</v>
      </c>
      <c r="E28" s="6" t="s">
        <v>178</v>
      </c>
      <c r="F28" s="22" t="s">
        <v>96</v>
      </c>
      <c r="G28" s="53">
        <v>42758</v>
      </c>
      <c r="H28" s="6"/>
      <c r="I28" s="6" t="s">
        <v>208</v>
      </c>
      <c r="J28" s="92">
        <v>1</v>
      </c>
      <c r="K28" s="110">
        <v>2</v>
      </c>
      <c r="L28" s="92">
        <f>SUM(P28:X28)</f>
        <v>0</v>
      </c>
      <c r="M28" s="20">
        <f t="shared" si="0"/>
        <v>0</v>
      </c>
      <c r="N28" s="114">
        <v>1</v>
      </c>
      <c r="O28" s="37">
        <v>42761</v>
      </c>
      <c r="P28" s="5"/>
      <c r="Q28" s="6"/>
      <c r="R28" s="6"/>
      <c r="S28" s="22"/>
      <c r="T28" s="6"/>
      <c r="U28" s="6"/>
      <c r="V28" s="6"/>
      <c r="W28" s="6"/>
      <c r="X28" s="22"/>
    </row>
    <row r="29" spans="1:24">
      <c r="A29" s="36">
        <v>17</v>
      </c>
      <c r="B29" s="6" t="s">
        <v>21</v>
      </c>
      <c r="C29" s="6">
        <v>17</v>
      </c>
      <c r="D29" s="30">
        <v>2</v>
      </c>
      <c r="E29" s="6" t="s">
        <v>67</v>
      </c>
      <c r="F29" s="22" t="s">
        <v>20</v>
      </c>
      <c r="G29" s="53">
        <v>42758</v>
      </c>
      <c r="H29" s="19"/>
      <c r="I29" s="6" t="s">
        <v>208</v>
      </c>
      <c r="J29" s="92">
        <v>1</v>
      </c>
      <c r="K29" s="110">
        <v>0.1</v>
      </c>
      <c r="L29" s="92">
        <f>SUM(P29:X29)</f>
        <v>0</v>
      </c>
      <c r="M29" s="20">
        <f t="shared" si="0"/>
        <v>0</v>
      </c>
      <c r="N29" s="114">
        <v>1</v>
      </c>
      <c r="O29" s="37">
        <v>42761</v>
      </c>
      <c r="P29" s="5"/>
      <c r="Q29" s="6"/>
      <c r="R29" s="6"/>
      <c r="S29" s="22"/>
      <c r="T29" s="6"/>
      <c r="U29" s="6"/>
      <c r="V29" s="6"/>
      <c r="W29" s="30"/>
      <c r="X29" s="40"/>
    </row>
    <row r="30" spans="1:24">
      <c r="A30" s="36">
        <v>17</v>
      </c>
      <c r="B30" s="6" t="s">
        <v>21</v>
      </c>
      <c r="C30" s="6">
        <v>17</v>
      </c>
      <c r="D30" s="30">
        <v>2</v>
      </c>
      <c r="E30" s="6" t="s">
        <v>67</v>
      </c>
      <c r="F30" s="22" t="s">
        <v>20</v>
      </c>
      <c r="G30" s="53">
        <v>42768</v>
      </c>
      <c r="H30" s="19">
        <v>42768</v>
      </c>
      <c r="I30" s="19" t="s">
        <v>282</v>
      </c>
      <c r="J30" s="92">
        <v>2</v>
      </c>
      <c r="K30" s="110">
        <v>0.19</v>
      </c>
      <c r="L30" s="92">
        <v>7</v>
      </c>
      <c r="M30" s="20">
        <f t="shared" si="0"/>
        <v>0.14000000000000001</v>
      </c>
      <c r="N30" s="114">
        <v>1</v>
      </c>
      <c r="O30" s="37">
        <v>42771</v>
      </c>
      <c r="P30" s="5">
        <v>-4</v>
      </c>
      <c r="Q30" s="6">
        <v>2</v>
      </c>
      <c r="R30" s="6">
        <v>2</v>
      </c>
      <c r="S30" s="22">
        <v>3</v>
      </c>
      <c r="T30" s="6">
        <v>11</v>
      </c>
      <c r="U30" s="6">
        <v>6</v>
      </c>
      <c r="V30" s="6">
        <v>8</v>
      </c>
      <c r="W30" s="30">
        <v>4</v>
      </c>
      <c r="X30" s="40">
        <v>3</v>
      </c>
    </row>
    <row r="31" spans="1:24">
      <c r="A31" s="36">
        <v>17</v>
      </c>
      <c r="B31" s="6" t="s">
        <v>21</v>
      </c>
      <c r="C31" s="6">
        <v>17</v>
      </c>
      <c r="D31" s="30">
        <v>2</v>
      </c>
      <c r="E31" s="6" t="s">
        <v>67</v>
      </c>
      <c r="F31" s="22" t="s">
        <v>20</v>
      </c>
      <c r="G31" s="53">
        <v>42787</v>
      </c>
      <c r="H31" s="19">
        <v>42787</v>
      </c>
      <c r="I31" s="6"/>
      <c r="J31" s="92">
        <v>3</v>
      </c>
      <c r="K31" s="110">
        <v>1.71</v>
      </c>
      <c r="L31" s="92">
        <f>SUM(P31:X31)</f>
        <v>34</v>
      </c>
      <c r="M31" s="20">
        <f>L31/$L$2</f>
        <v>0.68</v>
      </c>
      <c r="N31" s="114" t="s">
        <v>30</v>
      </c>
      <c r="O31" s="37">
        <v>42787</v>
      </c>
      <c r="P31" s="5">
        <v>-4</v>
      </c>
      <c r="Q31" s="6">
        <v>2</v>
      </c>
      <c r="R31" s="6">
        <v>2</v>
      </c>
      <c r="S31" s="22">
        <v>3</v>
      </c>
      <c r="T31" s="6">
        <v>10</v>
      </c>
      <c r="U31" s="6">
        <v>7</v>
      </c>
      <c r="V31" s="6">
        <v>8</v>
      </c>
      <c r="W31" s="30">
        <v>3</v>
      </c>
      <c r="X31" s="40">
        <v>3</v>
      </c>
    </row>
    <row r="32" spans="1:24">
      <c r="A32" s="36">
        <v>18</v>
      </c>
      <c r="B32" s="6" t="s">
        <v>21</v>
      </c>
      <c r="C32" s="6">
        <v>18</v>
      </c>
      <c r="D32" s="30">
        <v>1</v>
      </c>
      <c r="E32" s="6" t="s">
        <v>2</v>
      </c>
      <c r="F32" s="22" t="s">
        <v>97</v>
      </c>
      <c r="G32" s="53">
        <v>42758</v>
      </c>
      <c r="H32" s="19"/>
      <c r="I32" s="6" t="s">
        <v>211</v>
      </c>
      <c r="J32" s="92">
        <v>1</v>
      </c>
      <c r="K32" s="110">
        <v>0</v>
      </c>
      <c r="L32" s="92">
        <f>SUM(P32:X32)</f>
        <v>0</v>
      </c>
      <c r="M32" s="20">
        <f t="shared" si="0"/>
        <v>0</v>
      </c>
      <c r="N32" s="114"/>
      <c r="O32" s="37"/>
      <c r="P32" s="5"/>
      <c r="Q32" s="6"/>
      <c r="R32" s="6"/>
      <c r="S32" s="22"/>
      <c r="T32" s="6"/>
      <c r="U32" s="6"/>
      <c r="V32" s="6"/>
      <c r="W32" s="6"/>
      <c r="X32" s="22"/>
    </row>
    <row r="33" spans="1:24">
      <c r="A33" s="36">
        <v>18</v>
      </c>
      <c r="B33" s="6" t="s">
        <v>21</v>
      </c>
      <c r="C33" s="6">
        <v>18</v>
      </c>
      <c r="D33" s="30">
        <v>1</v>
      </c>
      <c r="E33" s="6" t="s">
        <v>2</v>
      </c>
      <c r="F33" s="22" t="s">
        <v>97</v>
      </c>
      <c r="G33" s="53">
        <v>42772</v>
      </c>
      <c r="H33" s="19">
        <v>42768</v>
      </c>
      <c r="I33" s="19" t="s">
        <v>282</v>
      </c>
      <c r="J33" s="92">
        <v>2</v>
      </c>
      <c r="K33" s="110">
        <v>0.72</v>
      </c>
      <c r="L33" s="92">
        <v>5</v>
      </c>
      <c r="M33" s="20">
        <f t="shared" si="0"/>
        <v>0.1</v>
      </c>
      <c r="N33" s="114">
        <v>1</v>
      </c>
      <c r="O33" s="37">
        <v>42771</v>
      </c>
      <c r="P33" s="5">
        <v>-4</v>
      </c>
      <c r="Q33" s="6">
        <v>2</v>
      </c>
      <c r="R33" s="6">
        <v>0</v>
      </c>
      <c r="S33" s="22">
        <v>3</v>
      </c>
      <c r="T33" s="6">
        <v>11</v>
      </c>
      <c r="U33" s="6">
        <v>6</v>
      </c>
      <c r="V33" s="6">
        <v>8</v>
      </c>
      <c r="W33" s="30">
        <v>4</v>
      </c>
      <c r="X33" s="40">
        <v>3</v>
      </c>
    </row>
    <row r="34" spans="1:24">
      <c r="A34" s="36">
        <v>18</v>
      </c>
      <c r="B34" s="6" t="s">
        <v>21</v>
      </c>
      <c r="C34" s="6">
        <v>18</v>
      </c>
      <c r="D34" s="30">
        <v>1</v>
      </c>
      <c r="E34" s="6" t="s">
        <v>2</v>
      </c>
      <c r="F34" s="22" t="s">
        <v>97</v>
      </c>
      <c r="G34" s="53">
        <v>42793</v>
      </c>
      <c r="H34" s="19">
        <v>42793</v>
      </c>
      <c r="I34" s="19"/>
      <c r="J34" s="92">
        <v>3</v>
      </c>
      <c r="K34" s="110">
        <v>1.28</v>
      </c>
      <c r="L34" s="92">
        <f t="shared" ref="L34:L51" si="2">SUM(P34:X34)</f>
        <v>28</v>
      </c>
      <c r="M34" s="20">
        <f t="shared" si="0"/>
        <v>0.56000000000000005</v>
      </c>
      <c r="N34" s="114">
        <v>3</v>
      </c>
      <c r="O34" s="37">
        <v>42801</v>
      </c>
      <c r="P34" s="5">
        <v>-4</v>
      </c>
      <c r="Q34" s="6">
        <v>2</v>
      </c>
      <c r="R34" s="6">
        <v>0</v>
      </c>
      <c r="S34" s="22">
        <v>1</v>
      </c>
      <c r="T34" s="6">
        <v>9</v>
      </c>
      <c r="U34" s="6">
        <v>5</v>
      </c>
      <c r="V34" s="6">
        <v>8</v>
      </c>
      <c r="W34" s="30">
        <v>4</v>
      </c>
      <c r="X34" s="40">
        <v>3</v>
      </c>
    </row>
    <row r="35" spans="1:24">
      <c r="A35" s="36">
        <v>19</v>
      </c>
      <c r="B35" s="6" t="s">
        <v>21</v>
      </c>
      <c r="C35" s="6">
        <v>19</v>
      </c>
      <c r="D35" s="30">
        <v>1</v>
      </c>
      <c r="E35" s="6" t="s">
        <v>81</v>
      </c>
      <c r="F35" s="22" t="s">
        <v>98</v>
      </c>
      <c r="G35" s="53">
        <v>42758</v>
      </c>
      <c r="H35" s="19">
        <v>42757</v>
      </c>
      <c r="I35" s="19" t="s">
        <v>217</v>
      </c>
      <c r="J35" s="92">
        <v>1</v>
      </c>
      <c r="K35" s="110">
        <v>2</v>
      </c>
      <c r="L35" s="92">
        <f t="shared" si="2"/>
        <v>1</v>
      </c>
      <c r="M35" s="20">
        <f t="shared" si="0"/>
        <v>0.02</v>
      </c>
      <c r="N35" s="114">
        <v>1</v>
      </c>
      <c r="O35" s="37">
        <v>42766</v>
      </c>
      <c r="P35" s="5">
        <v>-25</v>
      </c>
      <c r="Q35" s="6">
        <v>2</v>
      </c>
      <c r="R35" s="6">
        <v>2</v>
      </c>
      <c r="S35" s="22">
        <v>3</v>
      </c>
      <c r="T35" s="6">
        <v>9</v>
      </c>
      <c r="U35" s="6">
        <v>0</v>
      </c>
      <c r="V35" s="6">
        <v>0</v>
      </c>
      <c r="W35" s="6">
        <v>7</v>
      </c>
      <c r="X35" s="22">
        <v>3</v>
      </c>
    </row>
    <row r="36" spans="1:24">
      <c r="A36" s="36">
        <v>20</v>
      </c>
      <c r="B36" s="30" t="s">
        <v>21</v>
      </c>
      <c r="C36" s="6">
        <v>20</v>
      </c>
      <c r="D36" s="30">
        <v>1</v>
      </c>
      <c r="E36" s="30" t="s">
        <v>16</v>
      </c>
      <c r="F36" s="40" t="s">
        <v>57</v>
      </c>
      <c r="G36" s="53">
        <v>42758</v>
      </c>
      <c r="H36" s="19">
        <v>42758</v>
      </c>
      <c r="I36" s="19"/>
      <c r="J36" s="92">
        <v>1</v>
      </c>
      <c r="K36" s="110">
        <v>2</v>
      </c>
      <c r="L36" s="92">
        <f t="shared" si="2"/>
        <v>39</v>
      </c>
      <c r="M36" s="20">
        <f t="shared" si="0"/>
        <v>0.78</v>
      </c>
      <c r="N36" s="114">
        <v>4</v>
      </c>
      <c r="O36" s="37">
        <v>42766</v>
      </c>
      <c r="P36" s="5">
        <v>-5</v>
      </c>
      <c r="Q36" s="6">
        <v>2</v>
      </c>
      <c r="R36" s="6">
        <v>2</v>
      </c>
      <c r="S36" s="22">
        <v>3</v>
      </c>
      <c r="T36" s="6">
        <v>10</v>
      </c>
      <c r="U36" s="6">
        <v>12</v>
      </c>
      <c r="V36" s="6">
        <v>8</v>
      </c>
      <c r="W36" s="6">
        <v>4</v>
      </c>
      <c r="X36" s="22">
        <v>3</v>
      </c>
    </row>
    <row r="37" spans="1:24">
      <c r="A37" s="36">
        <v>21</v>
      </c>
      <c r="B37" s="30" t="s">
        <v>21</v>
      </c>
      <c r="C37" s="6">
        <v>21</v>
      </c>
      <c r="D37" s="30">
        <v>2</v>
      </c>
      <c r="E37" s="30" t="s">
        <v>65</v>
      </c>
      <c r="F37" s="40" t="s">
        <v>99</v>
      </c>
      <c r="G37" s="53">
        <v>42758</v>
      </c>
      <c r="H37" s="19">
        <v>42757</v>
      </c>
      <c r="I37" s="19"/>
      <c r="J37" s="92">
        <v>1</v>
      </c>
      <c r="K37" s="110">
        <v>2</v>
      </c>
      <c r="L37" s="92">
        <f t="shared" si="2"/>
        <v>37</v>
      </c>
      <c r="M37" s="20">
        <f t="shared" si="0"/>
        <v>0.74</v>
      </c>
      <c r="N37" s="114">
        <v>4</v>
      </c>
      <c r="O37" s="37">
        <v>42766</v>
      </c>
      <c r="P37" s="5">
        <v>-3</v>
      </c>
      <c r="Q37" s="6">
        <v>2</v>
      </c>
      <c r="R37" s="6">
        <v>2</v>
      </c>
      <c r="S37" s="22">
        <v>3</v>
      </c>
      <c r="T37" s="6">
        <v>10</v>
      </c>
      <c r="U37" s="6">
        <v>4</v>
      </c>
      <c r="V37" s="6">
        <v>8</v>
      </c>
      <c r="W37" s="6">
        <v>8</v>
      </c>
      <c r="X37" s="22">
        <v>3</v>
      </c>
    </row>
    <row r="38" spans="1:24">
      <c r="A38" s="36">
        <v>22</v>
      </c>
      <c r="B38" s="30" t="s">
        <v>21</v>
      </c>
      <c r="C38" s="6">
        <v>22</v>
      </c>
      <c r="D38" s="30">
        <v>1</v>
      </c>
      <c r="E38" s="30" t="s">
        <v>100</v>
      </c>
      <c r="F38" s="22" t="s">
        <v>101</v>
      </c>
      <c r="G38" s="53">
        <v>42758</v>
      </c>
      <c r="H38" s="19"/>
      <c r="I38" s="19" t="s">
        <v>208</v>
      </c>
      <c r="J38" s="92">
        <v>1</v>
      </c>
      <c r="K38" s="110">
        <v>0.05</v>
      </c>
      <c r="L38" s="92">
        <f t="shared" si="2"/>
        <v>0</v>
      </c>
      <c r="M38" s="20">
        <f t="shared" si="0"/>
        <v>0</v>
      </c>
      <c r="N38" s="114">
        <v>1</v>
      </c>
      <c r="O38" s="37">
        <v>42761</v>
      </c>
      <c r="P38" s="5"/>
      <c r="Q38" s="6"/>
      <c r="R38" s="6"/>
      <c r="S38" s="22"/>
      <c r="T38" s="6"/>
      <c r="U38" s="6"/>
      <c r="V38" s="6"/>
      <c r="W38" s="6"/>
      <c r="X38" s="22"/>
    </row>
    <row r="39" spans="1:24">
      <c r="A39" s="36">
        <v>22</v>
      </c>
      <c r="B39" s="30" t="s">
        <v>21</v>
      </c>
      <c r="C39" s="6">
        <v>22</v>
      </c>
      <c r="D39" s="30">
        <v>1</v>
      </c>
      <c r="E39" s="30" t="s">
        <v>100</v>
      </c>
      <c r="F39" s="22" t="s">
        <v>101</v>
      </c>
      <c r="G39" s="53">
        <v>42762</v>
      </c>
      <c r="H39" s="19">
        <v>42762</v>
      </c>
      <c r="I39" s="19"/>
      <c r="J39" s="92">
        <v>2</v>
      </c>
      <c r="K39" s="110">
        <v>1.95</v>
      </c>
      <c r="L39" s="92">
        <f t="shared" si="2"/>
        <v>35</v>
      </c>
      <c r="M39" s="20">
        <f t="shared" si="0"/>
        <v>0.7</v>
      </c>
      <c r="N39" s="114" t="s">
        <v>30</v>
      </c>
      <c r="O39" s="37">
        <v>42771</v>
      </c>
      <c r="P39" s="5">
        <v>-3</v>
      </c>
      <c r="Q39" s="6">
        <v>2</v>
      </c>
      <c r="R39" s="6">
        <v>2</v>
      </c>
      <c r="S39" s="22">
        <v>3</v>
      </c>
      <c r="T39" s="6">
        <v>10</v>
      </c>
      <c r="U39" s="6">
        <v>4</v>
      </c>
      <c r="V39" s="6">
        <v>8</v>
      </c>
      <c r="W39" s="6">
        <v>6</v>
      </c>
      <c r="X39" s="22">
        <v>3</v>
      </c>
    </row>
    <row r="40" spans="1:24">
      <c r="A40" s="36">
        <v>23</v>
      </c>
      <c r="B40" s="30" t="s">
        <v>21</v>
      </c>
      <c r="C40" s="6">
        <v>23</v>
      </c>
      <c r="D40" s="30">
        <v>2</v>
      </c>
      <c r="E40" s="30" t="s">
        <v>64</v>
      </c>
      <c r="F40" s="40" t="s">
        <v>1</v>
      </c>
      <c r="G40" s="53">
        <v>42758</v>
      </c>
      <c r="H40" s="19"/>
      <c r="I40" s="19" t="s">
        <v>208</v>
      </c>
      <c r="J40" s="92">
        <v>1</v>
      </c>
      <c r="K40" s="110">
        <v>0.1</v>
      </c>
      <c r="L40" s="92">
        <f t="shared" si="2"/>
        <v>0</v>
      </c>
      <c r="M40" s="20">
        <f t="shared" si="0"/>
        <v>0</v>
      </c>
      <c r="N40" s="114">
        <v>1</v>
      </c>
      <c r="O40" s="37">
        <v>42761</v>
      </c>
      <c r="P40" s="5"/>
      <c r="Q40" s="6"/>
      <c r="R40" s="6"/>
      <c r="S40" s="22"/>
      <c r="T40" s="6"/>
      <c r="U40" s="6"/>
      <c r="V40" s="6"/>
      <c r="W40" s="6"/>
      <c r="X40" s="22"/>
    </row>
    <row r="41" spans="1:24">
      <c r="A41" s="36">
        <v>23</v>
      </c>
      <c r="B41" s="30" t="s">
        <v>21</v>
      </c>
      <c r="C41" s="6">
        <v>23</v>
      </c>
      <c r="D41" s="30">
        <v>2</v>
      </c>
      <c r="E41" s="30" t="s">
        <v>64</v>
      </c>
      <c r="F41" s="40" t="s">
        <v>1</v>
      </c>
      <c r="G41" s="53">
        <v>42768</v>
      </c>
      <c r="H41" s="19">
        <v>42768</v>
      </c>
      <c r="I41" s="19"/>
      <c r="J41" s="92">
        <v>2</v>
      </c>
      <c r="K41" s="110">
        <v>1.9</v>
      </c>
      <c r="L41" s="92">
        <f t="shared" si="2"/>
        <v>38</v>
      </c>
      <c r="M41" s="20">
        <f t="shared" ref="M41:M76" si="3">L41/$L$2</f>
        <v>0.76</v>
      </c>
      <c r="N41" s="114">
        <v>4</v>
      </c>
      <c r="O41" s="37">
        <v>42771</v>
      </c>
      <c r="P41" s="5">
        <v>-4</v>
      </c>
      <c r="Q41" s="6">
        <v>2</v>
      </c>
      <c r="R41" s="6">
        <v>2</v>
      </c>
      <c r="S41" s="22">
        <v>3</v>
      </c>
      <c r="T41" s="6">
        <v>11</v>
      </c>
      <c r="U41" s="6">
        <v>10</v>
      </c>
      <c r="V41" s="6">
        <v>8</v>
      </c>
      <c r="W41" s="6">
        <v>3</v>
      </c>
      <c r="X41" s="22">
        <v>3</v>
      </c>
    </row>
    <row r="42" spans="1:24">
      <c r="A42" s="36">
        <v>24</v>
      </c>
      <c r="B42" s="30" t="s">
        <v>21</v>
      </c>
      <c r="C42" s="6">
        <v>24</v>
      </c>
      <c r="D42" s="30">
        <v>2</v>
      </c>
      <c r="E42" s="30" t="s">
        <v>102</v>
      </c>
      <c r="F42" s="22" t="s">
        <v>103</v>
      </c>
      <c r="G42" s="53">
        <v>42758</v>
      </c>
      <c r="H42" s="19">
        <v>42757</v>
      </c>
      <c r="I42" s="19"/>
      <c r="J42" s="92">
        <v>1</v>
      </c>
      <c r="K42" s="110">
        <v>2</v>
      </c>
      <c r="L42" s="92">
        <f t="shared" si="2"/>
        <v>39</v>
      </c>
      <c r="M42" s="20">
        <f t="shared" si="3"/>
        <v>0.78</v>
      </c>
      <c r="N42" s="114">
        <v>4</v>
      </c>
      <c r="O42" s="37">
        <v>42766</v>
      </c>
      <c r="P42" s="5">
        <v>-1</v>
      </c>
      <c r="Q42" s="6">
        <v>2</v>
      </c>
      <c r="R42" s="6">
        <v>2</v>
      </c>
      <c r="S42" s="22">
        <v>3</v>
      </c>
      <c r="T42" s="6">
        <v>11</v>
      </c>
      <c r="U42" s="6">
        <v>6</v>
      </c>
      <c r="V42" s="6">
        <v>8</v>
      </c>
      <c r="W42" s="6">
        <v>5</v>
      </c>
      <c r="X42" s="22">
        <v>3</v>
      </c>
    </row>
    <row r="43" spans="1:24">
      <c r="A43" s="36">
        <v>25</v>
      </c>
      <c r="B43" s="6" t="s">
        <v>21</v>
      </c>
      <c r="C43" s="6">
        <v>25</v>
      </c>
      <c r="D43" s="30">
        <v>2</v>
      </c>
      <c r="E43" s="6" t="s">
        <v>175</v>
      </c>
      <c r="F43" s="22" t="s">
        <v>104</v>
      </c>
      <c r="G43" s="53">
        <v>42758</v>
      </c>
      <c r="H43" s="6"/>
      <c r="I43" s="6" t="s">
        <v>208</v>
      </c>
      <c r="J43" s="92">
        <v>1</v>
      </c>
      <c r="K43" s="110">
        <v>0.1</v>
      </c>
      <c r="L43" s="92">
        <f t="shared" si="2"/>
        <v>0</v>
      </c>
      <c r="M43" s="20">
        <f t="shared" si="3"/>
        <v>0</v>
      </c>
      <c r="N43" s="114">
        <v>1</v>
      </c>
      <c r="O43" s="37">
        <v>42761</v>
      </c>
      <c r="P43" s="5"/>
      <c r="Q43" s="6"/>
      <c r="R43" s="6"/>
      <c r="S43" s="22"/>
      <c r="T43" s="6"/>
      <c r="U43" s="6"/>
      <c r="V43" s="6"/>
      <c r="W43" s="6"/>
      <c r="X43" s="22"/>
    </row>
    <row r="44" spans="1:24">
      <c r="A44" s="36">
        <v>25</v>
      </c>
      <c r="B44" s="6" t="s">
        <v>21</v>
      </c>
      <c r="C44" s="6">
        <v>25</v>
      </c>
      <c r="D44" s="30">
        <v>2</v>
      </c>
      <c r="E44" s="6" t="s">
        <v>175</v>
      </c>
      <c r="F44" s="22" t="s">
        <v>104</v>
      </c>
      <c r="G44" s="53">
        <v>42768</v>
      </c>
      <c r="H44" s="19">
        <v>42768</v>
      </c>
      <c r="I44" s="6"/>
      <c r="J44" s="92">
        <v>2</v>
      </c>
      <c r="K44" s="110">
        <v>1.9</v>
      </c>
      <c r="L44" s="92">
        <f t="shared" si="2"/>
        <v>35</v>
      </c>
      <c r="M44" s="20">
        <f t="shared" si="3"/>
        <v>0.7</v>
      </c>
      <c r="N44" s="114" t="s">
        <v>30</v>
      </c>
      <c r="O44" s="37">
        <v>42771</v>
      </c>
      <c r="P44" s="5">
        <v>-2</v>
      </c>
      <c r="Q44" s="6">
        <v>2</v>
      </c>
      <c r="R44" s="6">
        <v>2</v>
      </c>
      <c r="S44" s="22">
        <v>3</v>
      </c>
      <c r="T44" s="6">
        <v>8</v>
      </c>
      <c r="U44" s="6">
        <v>6</v>
      </c>
      <c r="V44" s="6">
        <v>8</v>
      </c>
      <c r="W44" s="6">
        <v>5</v>
      </c>
      <c r="X44" s="22">
        <v>3</v>
      </c>
    </row>
    <row r="45" spans="1:24">
      <c r="A45" s="36">
        <v>79</v>
      </c>
      <c r="B45" s="30" t="s">
        <v>21</v>
      </c>
      <c r="C45" s="6">
        <v>26</v>
      </c>
      <c r="D45" s="30">
        <v>1</v>
      </c>
      <c r="E45" s="30" t="s">
        <v>47</v>
      </c>
      <c r="F45" s="40" t="s">
        <v>49</v>
      </c>
      <c r="G45" s="53">
        <v>42758</v>
      </c>
      <c r="H45" s="19">
        <v>42757</v>
      </c>
      <c r="I45" s="19" t="s">
        <v>217</v>
      </c>
      <c r="J45" s="92">
        <v>1</v>
      </c>
      <c r="K45" s="110">
        <v>0.12</v>
      </c>
      <c r="L45" s="92">
        <f t="shared" si="2"/>
        <v>14</v>
      </c>
      <c r="M45" s="20">
        <f t="shared" si="3"/>
        <v>0.28000000000000003</v>
      </c>
      <c r="N45" s="114">
        <v>1</v>
      </c>
      <c r="O45" s="37">
        <v>42766</v>
      </c>
      <c r="P45" s="5">
        <v>-20</v>
      </c>
      <c r="Q45" s="6">
        <v>2</v>
      </c>
      <c r="R45" s="6">
        <v>2</v>
      </c>
      <c r="S45" s="22">
        <v>3</v>
      </c>
      <c r="T45" s="6">
        <v>8</v>
      </c>
      <c r="U45" s="6">
        <v>5</v>
      </c>
      <c r="V45" s="6">
        <v>8</v>
      </c>
      <c r="W45" s="6">
        <v>3</v>
      </c>
      <c r="X45" s="22">
        <v>3</v>
      </c>
    </row>
    <row r="46" spans="1:24">
      <c r="A46" s="36">
        <v>79</v>
      </c>
      <c r="B46" s="30" t="s">
        <v>21</v>
      </c>
      <c r="C46" s="6">
        <v>26</v>
      </c>
      <c r="D46" s="30">
        <v>1</v>
      </c>
      <c r="E46" s="30" t="s">
        <v>47</v>
      </c>
      <c r="F46" s="40" t="s">
        <v>49</v>
      </c>
      <c r="G46" s="53">
        <v>42778</v>
      </c>
      <c r="H46" s="19">
        <v>42778</v>
      </c>
      <c r="I46" s="19"/>
      <c r="J46" s="92">
        <v>1</v>
      </c>
      <c r="K46" s="110">
        <v>0.03</v>
      </c>
      <c r="L46" s="92">
        <f t="shared" si="2"/>
        <v>29</v>
      </c>
      <c r="M46" s="20">
        <f t="shared" si="3"/>
        <v>0.57999999999999996</v>
      </c>
      <c r="N46" s="114">
        <v>3</v>
      </c>
      <c r="O46" s="37">
        <v>42779</v>
      </c>
      <c r="P46" s="5">
        <v>-6</v>
      </c>
      <c r="Q46" s="6">
        <v>2</v>
      </c>
      <c r="R46" s="6">
        <v>2</v>
      </c>
      <c r="S46" s="22">
        <v>3</v>
      </c>
      <c r="T46" s="6">
        <v>9</v>
      </c>
      <c r="U46" s="6">
        <v>2</v>
      </c>
      <c r="V46" s="6">
        <v>8</v>
      </c>
      <c r="W46" s="6">
        <v>6</v>
      </c>
      <c r="X46" s="22">
        <v>3</v>
      </c>
    </row>
    <row r="47" spans="1:24">
      <c r="A47" s="36">
        <v>79</v>
      </c>
      <c r="B47" s="30" t="s">
        <v>21</v>
      </c>
      <c r="C47" s="6">
        <v>26</v>
      </c>
      <c r="D47" s="30">
        <v>1</v>
      </c>
      <c r="E47" s="30" t="s">
        <v>47</v>
      </c>
      <c r="F47" s="40" t="s">
        <v>49</v>
      </c>
      <c r="G47" s="53">
        <v>42782</v>
      </c>
      <c r="H47" s="19">
        <v>42782</v>
      </c>
      <c r="I47" s="19"/>
      <c r="J47" s="92">
        <v>1</v>
      </c>
      <c r="K47" s="110">
        <v>1.85</v>
      </c>
      <c r="L47" s="92">
        <f>SUM(P47:X47)</f>
        <v>31</v>
      </c>
      <c r="M47" s="20">
        <f>L47/$L$2</f>
        <v>0.62</v>
      </c>
      <c r="N47" s="114">
        <v>3</v>
      </c>
      <c r="O47" s="37">
        <v>42787</v>
      </c>
      <c r="P47" s="5">
        <v>-4</v>
      </c>
      <c r="Q47" s="6">
        <v>2</v>
      </c>
      <c r="R47" s="6">
        <v>2</v>
      </c>
      <c r="S47" s="22">
        <v>3</v>
      </c>
      <c r="T47" s="6">
        <v>9</v>
      </c>
      <c r="U47" s="6">
        <v>2</v>
      </c>
      <c r="V47" s="6">
        <v>8</v>
      </c>
      <c r="W47" s="6">
        <v>6</v>
      </c>
      <c r="X47" s="22">
        <v>3</v>
      </c>
    </row>
    <row r="48" spans="1:24">
      <c r="A48" s="36">
        <v>26</v>
      </c>
      <c r="B48" s="30" t="s">
        <v>21</v>
      </c>
      <c r="C48" s="6">
        <v>27</v>
      </c>
      <c r="D48" s="30">
        <v>1</v>
      </c>
      <c r="E48" s="30" t="s">
        <v>93</v>
      </c>
      <c r="F48" s="40" t="s">
        <v>43</v>
      </c>
      <c r="G48" s="53">
        <v>42758</v>
      </c>
      <c r="H48" s="19"/>
      <c r="I48" s="19" t="s">
        <v>208</v>
      </c>
      <c r="J48" s="92">
        <v>1</v>
      </c>
      <c r="K48" s="110">
        <v>2</v>
      </c>
      <c r="L48" s="92">
        <f t="shared" si="2"/>
        <v>0</v>
      </c>
      <c r="M48" s="20">
        <f t="shared" si="3"/>
        <v>0</v>
      </c>
      <c r="N48" s="114">
        <v>1</v>
      </c>
      <c r="O48" s="37">
        <v>42761</v>
      </c>
      <c r="P48" s="5"/>
      <c r="Q48" s="6"/>
      <c r="R48" s="6"/>
      <c r="S48" s="22"/>
      <c r="T48" s="6"/>
      <c r="U48" s="6"/>
      <c r="V48" s="6"/>
      <c r="W48" s="6"/>
      <c r="X48" s="22"/>
    </row>
    <row r="49" spans="1:24">
      <c r="A49" s="36">
        <v>27</v>
      </c>
      <c r="B49" s="30" t="s">
        <v>21</v>
      </c>
      <c r="C49" s="6">
        <v>28</v>
      </c>
      <c r="D49" s="30">
        <v>2</v>
      </c>
      <c r="E49" s="30" t="s">
        <v>48</v>
      </c>
      <c r="F49" s="40" t="s">
        <v>105</v>
      </c>
      <c r="G49" s="107">
        <v>42758</v>
      </c>
      <c r="H49" s="19">
        <v>42757</v>
      </c>
      <c r="I49" s="19"/>
      <c r="J49" s="92">
        <v>1</v>
      </c>
      <c r="K49" s="110">
        <v>2</v>
      </c>
      <c r="L49" s="92">
        <f t="shared" si="2"/>
        <v>32</v>
      </c>
      <c r="M49" s="20">
        <f t="shared" si="3"/>
        <v>0.64</v>
      </c>
      <c r="N49" s="114" t="s">
        <v>32</v>
      </c>
      <c r="O49" s="37">
        <v>42766</v>
      </c>
      <c r="P49" s="5">
        <v>-3</v>
      </c>
      <c r="Q49" s="6">
        <v>2</v>
      </c>
      <c r="R49" s="6">
        <v>2</v>
      </c>
      <c r="S49" s="22">
        <v>2</v>
      </c>
      <c r="T49" s="6">
        <v>10</v>
      </c>
      <c r="U49" s="6">
        <v>5</v>
      </c>
      <c r="V49" s="6">
        <v>6</v>
      </c>
      <c r="W49" s="6">
        <v>5</v>
      </c>
      <c r="X49" s="22">
        <v>3</v>
      </c>
    </row>
    <row r="50" spans="1:24">
      <c r="A50" s="36">
        <v>28</v>
      </c>
      <c r="B50" s="30" t="s">
        <v>21</v>
      </c>
      <c r="C50" s="6">
        <v>29</v>
      </c>
      <c r="D50" s="30">
        <v>1</v>
      </c>
      <c r="E50" s="30" t="s">
        <v>174</v>
      </c>
      <c r="F50" s="40" t="s">
        <v>106</v>
      </c>
      <c r="G50" s="53">
        <v>42758</v>
      </c>
      <c r="H50" s="19">
        <v>42760</v>
      </c>
      <c r="I50" s="19" t="s">
        <v>281</v>
      </c>
      <c r="J50" s="92">
        <v>1</v>
      </c>
      <c r="K50" s="110">
        <v>2</v>
      </c>
      <c r="L50" s="92">
        <f t="shared" si="2"/>
        <v>30</v>
      </c>
      <c r="M50" s="20">
        <f t="shared" si="3"/>
        <v>0.6</v>
      </c>
      <c r="N50" s="114">
        <v>3</v>
      </c>
      <c r="O50" s="37">
        <v>42766</v>
      </c>
      <c r="P50" s="5">
        <v>-7</v>
      </c>
      <c r="Q50" s="6">
        <v>1</v>
      </c>
      <c r="R50" s="6">
        <v>2</v>
      </c>
      <c r="S50" s="22">
        <v>1</v>
      </c>
      <c r="T50" s="6">
        <v>10</v>
      </c>
      <c r="U50" s="6">
        <v>9</v>
      </c>
      <c r="V50" s="6">
        <v>6</v>
      </c>
      <c r="W50" s="6">
        <v>5</v>
      </c>
      <c r="X50" s="22">
        <v>3</v>
      </c>
    </row>
    <row r="51" spans="1:24">
      <c r="A51" s="36">
        <v>29</v>
      </c>
      <c r="B51" s="30" t="s">
        <v>21</v>
      </c>
      <c r="C51" s="6">
        <v>30</v>
      </c>
      <c r="D51" s="30">
        <v>2</v>
      </c>
      <c r="E51" s="30" t="s">
        <v>18</v>
      </c>
      <c r="F51" s="40" t="s">
        <v>107</v>
      </c>
      <c r="G51" s="53">
        <v>42758</v>
      </c>
      <c r="H51" s="19">
        <v>42757</v>
      </c>
      <c r="I51" s="19"/>
      <c r="J51" s="92">
        <v>1</v>
      </c>
      <c r="K51" s="110">
        <v>2</v>
      </c>
      <c r="L51" s="92">
        <f t="shared" si="2"/>
        <v>34</v>
      </c>
      <c r="M51" s="20">
        <f t="shared" si="3"/>
        <v>0.68</v>
      </c>
      <c r="N51" s="114" t="s">
        <v>30</v>
      </c>
      <c r="O51" s="37">
        <v>42766</v>
      </c>
      <c r="P51" s="5">
        <v>-3</v>
      </c>
      <c r="Q51" s="6">
        <v>2</v>
      </c>
      <c r="R51" s="6">
        <v>2</v>
      </c>
      <c r="S51" s="22">
        <v>2</v>
      </c>
      <c r="T51" s="6">
        <v>10</v>
      </c>
      <c r="U51" s="6">
        <v>3</v>
      </c>
      <c r="V51" s="6">
        <v>8</v>
      </c>
      <c r="W51" s="6">
        <v>7</v>
      </c>
      <c r="X51" s="22">
        <v>3</v>
      </c>
    </row>
    <row r="52" spans="1:24">
      <c r="A52" s="36">
        <v>30</v>
      </c>
      <c r="B52" s="30" t="s">
        <v>21</v>
      </c>
      <c r="C52" s="6">
        <v>31</v>
      </c>
      <c r="D52" s="30">
        <v>1</v>
      </c>
      <c r="E52" s="30" t="s">
        <v>173</v>
      </c>
      <c r="F52" s="40" t="s">
        <v>108</v>
      </c>
      <c r="G52" s="53">
        <v>42758</v>
      </c>
      <c r="H52" s="19">
        <v>42757</v>
      </c>
      <c r="I52" s="19" t="s">
        <v>282</v>
      </c>
      <c r="J52" s="92">
        <v>1</v>
      </c>
      <c r="K52" s="110">
        <v>0.68</v>
      </c>
      <c r="L52" s="92">
        <v>7</v>
      </c>
      <c r="M52" s="20">
        <f t="shared" si="3"/>
        <v>0.14000000000000001</v>
      </c>
      <c r="N52" s="114">
        <v>1</v>
      </c>
      <c r="O52" s="37">
        <v>42766</v>
      </c>
      <c r="P52" s="5">
        <v>-4</v>
      </c>
      <c r="Q52" s="6">
        <v>2</v>
      </c>
      <c r="R52" s="6">
        <v>2</v>
      </c>
      <c r="S52" s="22">
        <v>3</v>
      </c>
      <c r="T52" s="6">
        <v>10</v>
      </c>
      <c r="U52" s="6">
        <v>9</v>
      </c>
      <c r="V52" s="6">
        <v>8</v>
      </c>
      <c r="W52" s="6">
        <v>4</v>
      </c>
      <c r="X52" s="22">
        <v>3</v>
      </c>
    </row>
    <row r="53" spans="1:24">
      <c r="A53" s="36">
        <v>30</v>
      </c>
      <c r="B53" s="30" t="s">
        <v>21</v>
      </c>
      <c r="C53" s="6">
        <v>31</v>
      </c>
      <c r="D53" s="30">
        <v>1</v>
      </c>
      <c r="E53" s="30" t="s">
        <v>173</v>
      </c>
      <c r="F53" s="40" t="s">
        <v>108</v>
      </c>
      <c r="G53" s="53">
        <v>42806</v>
      </c>
      <c r="H53" s="19">
        <v>42806</v>
      </c>
      <c r="I53" s="19"/>
      <c r="J53" s="92">
        <v>2</v>
      </c>
      <c r="K53" s="110">
        <v>1.32</v>
      </c>
      <c r="L53" s="92">
        <f>SUM(P53:X53)</f>
        <v>35</v>
      </c>
      <c r="M53" s="20">
        <f>L53/$L$2</f>
        <v>0.7</v>
      </c>
      <c r="N53" s="114" t="s">
        <v>30</v>
      </c>
      <c r="O53" s="37">
        <v>42818</v>
      </c>
      <c r="P53" s="5">
        <v>-4</v>
      </c>
      <c r="Q53" s="6">
        <v>2</v>
      </c>
      <c r="R53" s="6">
        <v>2</v>
      </c>
      <c r="S53" s="22">
        <v>3</v>
      </c>
      <c r="T53" s="6">
        <v>10</v>
      </c>
      <c r="U53" s="6">
        <v>10</v>
      </c>
      <c r="V53" s="6">
        <v>8</v>
      </c>
      <c r="W53" s="6">
        <v>3</v>
      </c>
      <c r="X53" s="22">
        <v>1</v>
      </c>
    </row>
    <row r="54" spans="1:24">
      <c r="A54" s="36">
        <v>31</v>
      </c>
      <c r="B54" s="30" t="s">
        <v>21</v>
      </c>
      <c r="C54" s="6">
        <v>32</v>
      </c>
      <c r="D54" s="30">
        <v>1</v>
      </c>
      <c r="E54" s="30" t="s">
        <v>80</v>
      </c>
      <c r="F54" s="40" t="s">
        <v>109</v>
      </c>
      <c r="G54" s="53">
        <v>42758</v>
      </c>
      <c r="H54" s="6"/>
      <c r="I54" s="6" t="s">
        <v>208</v>
      </c>
      <c r="J54" s="92">
        <v>1</v>
      </c>
      <c r="K54" s="110">
        <v>0.05</v>
      </c>
      <c r="L54" s="92">
        <f>SUM(P54:X54)</f>
        <v>0</v>
      </c>
      <c r="M54" s="20">
        <f t="shared" si="3"/>
        <v>0</v>
      </c>
      <c r="N54" s="114">
        <v>1</v>
      </c>
      <c r="O54" s="37">
        <v>42761</v>
      </c>
      <c r="P54" s="5"/>
      <c r="Q54" s="6"/>
      <c r="R54" s="6"/>
      <c r="S54" s="22"/>
      <c r="T54" s="6"/>
      <c r="U54" s="6"/>
      <c r="V54" s="6"/>
      <c r="W54" s="30"/>
      <c r="X54" s="40"/>
    </row>
    <row r="55" spans="1:24">
      <c r="A55" s="36">
        <v>31</v>
      </c>
      <c r="B55" s="30" t="s">
        <v>21</v>
      </c>
      <c r="C55" s="6">
        <v>32</v>
      </c>
      <c r="D55" s="30">
        <v>1</v>
      </c>
      <c r="E55" s="30" t="s">
        <v>80</v>
      </c>
      <c r="F55" s="40" t="s">
        <v>109</v>
      </c>
      <c r="G55" s="53">
        <v>42763</v>
      </c>
      <c r="H55" s="19">
        <v>42763</v>
      </c>
      <c r="I55" s="19" t="s">
        <v>282</v>
      </c>
      <c r="J55" s="92">
        <v>2</v>
      </c>
      <c r="K55" s="110">
        <v>1.95</v>
      </c>
      <c r="L55" s="92">
        <v>7</v>
      </c>
      <c r="M55" s="20">
        <f t="shared" si="3"/>
        <v>0.14000000000000001</v>
      </c>
      <c r="N55" s="114">
        <v>4</v>
      </c>
      <c r="O55" s="37">
        <v>42770</v>
      </c>
      <c r="P55" s="5">
        <v>-4</v>
      </c>
      <c r="Q55" s="6">
        <v>2</v>
      </c>
      <c r="R55" s="6">
        <v>2</v>
      </c>
      <c r="S55" s="22">
        <v>3</v>
      </c>
      <c r="T55" s="6">
        <v>10</v>
      </c>
      <c r="U55" s="6">
        <v>9</v>
      </c>
      <c r="V55" s="6">
        <v>8</v>
      </c>
      <c r="W55" s="30">
        <v>4</v>
      </c>
      <c r="X55" s="40">
        <v>3</v>
      </c>
    </row>
    <row r="56" spans="1:24" ht="15" thickBot="1">
      <c r="A56" s="38">
        <v>32</v>
      </c>
      <c r="B56" s="31" t="s">
        <v>21</v>
      </c>
      <c r="C56" s="24">
        <v>33</v>
      </c>
      <c r="D56" s="31">
        <v>1</v>
      </c>
      <c r="E56" s="31" t="s">
        <v>176</v>
      </c>
      <c r="F56" s="41" t="s">
        <v>110</v>
      </c>
      <c r="G56" s="54">
        <v>42758</v>
      </c>
      <c r="H56" s="25">
        <v>42745</v>
      </c>
      <c r="I56" s="25"/>
      <c r="J56" s="93">
        <v>1</v>
      </c>
      <c r="K56" s="111">
        <v>2</v>
      </c>
      <c r="L56" s="93">
        <f t="shared" ref="L56:L78" si="4">SUM(P56:X56)</f>
        <v>33</v>
      </c>
      <c r="M56" s="26">
        <f t="shared" si="3"/>
        <v>0.66</v>
      </c>
      <c r="N56" s="115" t="s">
        <v>32</v>
      </c>
      <c r="O56" s="99">
        <v>42766</v>
      </c>
      <c r="P56" s="23">
        <v>-3</v>
      </c>
      <c r="Q56" s="24">
        <v>1</v>
      </c>
      <c r="R56" s="24">
        <v>2</v>
      </c>
      <c r="S56" s="28">
        <v>3</v>
      </c>
      <c r="T56" s="24">
        <v>11</v>
      </c>
      <c r="U56" s="24">
        <v>2</v>
      </c>
      <c r="V56" s="24">
        <v>7</v>
      </c>
      <c r="W56" s="24">
        <v>7</v>
      </c>
      <c r="X56" s="28">
        <v>3</v>
      </c>
    </row>
    <row r="57" spans="1:24">
      <c r="A57" s="35">
        <v>34</v>
      </c>
      <c r="B57" s="33" t="s">
        <v>22</v>
      </c>
      <c r="C57" s="4">
        <v>1</v>
      </c>
      <c r="D57" s="33">
        <v>4</v>
      </c>
      <c r="E57" s="33" t="s">
        <v>182</v>
      </c>
      <c r="F57" s="33" t="s">
        <v>17</v>
      </c>
      <c r="G57" s="55">
        <v>42758</v>
      </c>
      <c r="H57" s="14">
        <v>42758</v>
      </c>
      <c r="I57" s="14"/>
      <c r="J57" s="94">
        <v>1</v>
      </c>
      <c r="K57" s="109">
        <v>2</v>
      </c>
      <c r="L57" s="94">
        <f t="shared" si="4"/>
        <v>25</v>
      </c>
      <c r="M57" s="15">
        <f t="shared" si="3"/>
        <v>0.5</v>
      </c>
      <c r="N57" s="113" t="s">
        <v>31</v>
      </c>
      <c r="O57" s="95">
        <v>42766</v>
      </c>
      <c r="P57" s="3">
        <v>-3</v>
      </c>
      <c r="Q57" s="4">
        <v>2</v>
      </c>
      <c r="R57" s="4">
        <v>2</v>
      </c>
      <c r="S57" s="17">
        <v>3</v>
      </c>
      <c r="T57" s="3">
        <v>8</v>
      </c>
      <c r="U57" s="4">
        <v>8</v>
      </c>
      <c r="V57" s="4">
        <v>0</v>
      </c>
      <c r="W57" s="4">
        <v>2</v>
      </c>
      <c r="X57" s="17">
        <v>3</v>
      </c>
    </row>
    <row r="58" spans="1:24">
      <c r="A58" s="36">
        <v>35</v>
      </c>
      <c r="B58" s="30" t="s">
        <v>22</v>
      </c>
      <c r="C58" s="30">
        <v>2</v>
      </c>
      <c r="D58" s="30">
        <v>4</v>
      </c>
      <c r="E58" s="30" t="s">
        <v>188</v>
      </c>
      <c r="F58" s="30" t="s">
        <v>112</v>
      </c>
      <c r="G58" s="53">
        <v>42758</v>
      </c>
      <c r="H58" s="19"/>
      <c r="I58" s="19" t="s">
        <v>208</v>
      </c>
      <c r="J58" s="92">
        <v>1</v>
      </c>
      <c r="K58" s="110">
        <v>0.36</v>
      </c>
      <c r="L58" s="92">
        <f t="shared" si="4"/>
        <v>0</v>
      </c>
      <c r="M58" s="20">
        <f t="shared" si="3"/>
        <v>0</v>
      </c>
      <c r="N58" s="114">
        <v>1</v>
      </c>
      <c r="O58" s="37">
        <v>42761</v>
      </c>
      <c r="P58" s="5"/>
      <c r="Q58" s="6"/>
      <c r="R58" s="6"/>
      <c r="S58" s="22"/>
      <c r="T58" s="5"/>
      <c r="U58" s="6"/>
      <c r="V58" s="6"/>
      <c r="W58" s="6"/>
      <c r="X58" s="22"/>
    </row>
    <row r="59" spans="1:24">
      <c r="A59" s="36">
        <v>35</v>
      </c>
      <c r="B59" s="30" t="s">
        <v>22</v>
      </c>
      <c r="C59" s="30">
        <v>2</v>
      </c>
      <c r="D59" s="30">
        <v>4</v>
      </c>
      <c r="E59" s="30" t="s">
        <v>188</v>
      </c>
      <c r="F59" s="30" t="s">
        <v>112</v>
      </c>
      <c r="G59" s="53">
        <v>42794</v>
      </c>
      <c r="H59" s="19">
        <v>42794</v>
      </c>
      <c r="I59" s="19" t="s">
        <v>303</v>
      </c>
      <c r="J59" s="92">
        <v>2</v>
      </c>
      <c r="K59" s="110">
        <v>1.64</v>
      </c>
      <c r="L59" s="92">
        <f t="shared" si="4"/>
        <v>8</v>
      </c>
      <c r="M59" s="20">
        <f t="shared" si="3"/>
        <v>0.16</v>
      </c>
      <c r="N59" s="114">
        <v>1</v>
      </c>
      <c r="O59" s="37">
        <v>42800</v>
      </c>
      <c r="P59" s="5">
        <v>-16</v>
      </c>
      <c r="Q59" s="6">
        <v>2</v>
      </c>
      <c r="R59" s="6">
        <v>2</v>
      </c>
      <c r="S59" s="22">
        <v>-2</v>
      </c>
      <c r="T59" s="5">
        <v>6</v>
      </c>
      <c r="U59" s="6">
        <v>7</v>
      </c>
      <c r="V59" s="6">
        <v>4</v>
      </c>
      <c r="W59" s="6">
        <v>2</v>
      </c>
      <c r="X59" s="22">
        <v>3</v>
      </c>
    </row>
    <row r="60" spans="1:24">
      <c r="A60" s="36">
        <v>36</v>
      </c>
      <c r="B60" s="6" t="s">
        <v>22</v>
      </c>
      <c r="C60" s="6">
        <v>3</v>
      </c>
      <c r="D60" s="30">
        <v>4</v>
      </c>
      <c r="E60" s="6" t="s">
        <v>189</v>
      </c>
      <c r="F60" s="6" t="s">
        <v>113</v>
      </c>
      <c r="G60" s="53">
        <v>42758</v>
      </c>
      <c r="H60" s="19">
        <v>42746</v>
      </c>
      <c r="I60" s="19"/>
      <c r="J60" s="92">
        <v>1</v>
      </c>
      <c r="K60" s="110">
        <v>2</v>
      </c>
      <c r="L60" s="92">
        <f t="shared" si="4"/>
        <v>32</v>
      </c>
      <c r="M60" s="20">
        <f t="shared" si="3"/>
        <v>0.64</v>
      </c>
      <c r="N60" s="114" t="s">
        <v>32</v>
      </c>
      <c r="O60" s="37">
        <v>42766</v>
      </c>
      <c r="P60" s="5">
        <v>-2</v>
      </c>
      <c r="Q60" s="6">
        <v>2</v>
      </c>
      <c r="R60" s="6">
        <v>2</v>
      </c>
      <c r="S60" s="22">
        <v>3</v>
      </c>
      <c r="T60" s="5">
        <v>8</v>
      </c>
      <c r="U60" s="6">
        <v>5</v>
      </c>
      <c r="V60" s="6">
        <v>7</v>
      </c>
      <c r="W60" s="6">
        <v>4</v>
      </c>
      <c r="X60" s="22">
        <v>3</v>
      </c>
    </row>
    <row r="61" spans="1:24">
      <c r="A61" s="36">
        <v>37</v>
      </c>
      <c r="B61" s="6" t="s">
        <v>22</v>
      </c>
      <c r="C61" s="6">
        <v>4</v>
      </c>
      <c r="D61" s="30">
        <v>4</v>
      </c>
      <c r="E61" s="6" t="s">
        <v>79</v>
      </c>
      <c r="F61" s="6" t="s">
        <v>85</v>
      </c>
      <c r="G61" s="53">
        <v>42758</v>
      </c>
      <c r="H61" s="19">
        <v>42758</v>
      </c>
      <c r="I61" s="19"/>
      <c r="J61" s="92">
        <v>1</v>
      </c>
      <c r="K61" s="110">
        <v>2</v>
      </c>
      <c r="L61" s="92">
        <f t="shared" si="4"/>
        <v>46</v>
      </c>
      <c r="M61" s="20">
        <f t="shared" si="3"/>
        <v>0.92</v>
      </c>
      <c r="N61" s="114">
        <v>5</v>
      </c>
      <c r="O61" s="37">
        <v>42766</v>
      </c>
      <c r="P61" s="5">
        <v>-1</v>
      </c>
      <c r="Q61" s="6">
        <v>2</v>
      </c>
      <c r="R61" s="6">
        <v>2</v>
      </c>
      <c r="S61" s="22">
        <v>3</v>
      </c>
      <c r="T61" s="5">
        <v>10</v>
      </c>
      <c r="U61" s="6">
        <v>12</v>
      </c>
      <c r="V61" s="6">
        <v>8</v>
      </c>
      <c r="W61" s="6">
        <v>7</v>
      </c>
      <c r="X61" s="22">
        <v>3</v>
      </c>
    </row>
    <row r="62" spans="1:24">
      <c r="A62" s="36">
        <v>38</v>
      </c>
      <c r="B62" s="6" t="s">
        <v>22</v>
      </c>
      <c r="C62" s="30">
        <v>5</v>
      </c>
      <c r="D62" s="30">
        <v>3</v>
      </c>
      <c r="E62" s="6" t="s">
        <v>40</v>
      </c>
      <c r="F62" s="6" t="s">
        <v>114</v>
      </c>
      <c r="G62" s="53">
        <v>42758</v>
      </c>
      <c r="H62" s="6"/>
      <c r="I62" s="6" t="s">
        <v>208</v>
      </c>
      <c r="J62" s="92">
        <v>1</v>
      </c>
      <c r="K62" s="110">
        <v>2</v>
      </c>
      <c r="L62" s="92">
        <f t="shared" si="4"/>
        <v>0</v>
      </c>
      <c r="M62" s="20">
        <f t="shared" si="3"/>
        <v>0</v>
      </c>
      <c r="N62" s="114">
        <v>1</v>
      </c>
      <c r="O62" s="37">
        <v>42761</v>
      </c>
      <c r="P62" s="5"/>
      <c r="Q62" s="6"/>
      <c r="R62" s="6"/>
      <c r="S62" s="22"/>
      <c r="T62" s="5"/>
      <c r="U62" s="6"/>
      <c r="V62" s="6"/>
      <c r="W62" s="6"/>
      <c r="X62" s="22"/>
    </row>
    <row r="63" spans="1:24">
      <c r="A63" s="36">
        <v>39</v>
      </c>
      <c r="B63" s="6" t="s">
        <v>22</v>
      </c>
      <c r="C63" s="6">
        <v>6</v>
      </c>
      <c r="D63" s="30">
        <v>4</v>
      </c>
      <c r="E63" s="6" t="s">
        <v>10</v>
      </c>
      <c r="F63" s="6" t="s">
        <v>115</v>
      </c>
      <c r="G63" s="53">
        <v>42758</v>
      </c>
      <c r="H63" s="19"/>
      <c r="I63" s="6" t="s">
        <v>208</v>
      </c>
      <c r="J63" s="92">
        <v>1</v>
      </c>
      <c r="K63" s="110">
        <v>2</v>
      </c>
      <c r="L63" s="92">
        <f t="shared" si="4"/>
        <v>0</v>
      </c>
      <c r="M63" s="20">
        <f t="shared" si="3"/>
        <v>0</v>
      </c>
      <c r="N63" s="114">
        <v>1</v>
      </c>
      <c r="O63" s="37">
        <v>42761</v>
      </c>
      <c r="P63" s="5"/>
      <c r="Q63" s="6"/>
      <c r="R63" s="6"/>
      <c r="S63" s="22"/>
      <c r="T63" s="5"/>
      <c r="U63" s="6"/>
      <c r="V63" s="6"/>
      <c r="W63" s="6"/>
      <c r="X63" s="22"/>
    </row>
    <row r="64" spans="1:24">
      <c r="A64" s="36">
        <v>40</v>
      </c>
      <c r="B64" s="6" t="s">
        <v>22</v>
      </c>
      <c r="C64" s="6">
        <v>7</v>
      </c>
      <c r="D64" s="30">
        <v>3</v>
      </c>
      <c r="E64" s="6" t="s">
        <v>11</v>
      </c>
      <c r="F64" s="6" t="s">
        <v>116</v>
      </c>
      <c r="G64" s="53">
        <v>42758</v>
      </c>
      <c r="H64" s="19">
        <v>42758</v>
      </c>
      <c r="I64" s="19"/>
      <c r="J64" s="92">
        <v>1</v>
      </c>
      <c r="K64" s="110">
        <v>2</v>
      </c>
      <c r="L64" s="92">
        <f t="shared" si="4"/>
        <v>39</v>
      </c>
      <c r="M64" s="20">
        <f t="shared" si="3"/>
        <v>0.78</v>
      </c>
      <c r="N64" s="114">
        <v>4</v>
      </c>
      <c r="O64" s="37">
        <v>42768</v>
      </c>
      <c r="P64" s="5">
        <v>-2</v>
      </c>
      <c r="Q64" s="6">
        <v>2</v>
      </c>
      <c r="R64" s="6">
        <v>2</v>
      </c>
      <c r="S64" s="22">
        <v>3</v>
      </c>
      <c r="T64" s="5">
        <v>9</v>
      </c>
      <c r="U64" s="6">
        <v>9</v>
      </c>
      <c r="V64" s="6">
        <v>8</v>
      </c>
      <c r="W64" s="6">
        <v>5</v>
      </c>
      <c r="X64" s="22">
        <v>3</v>
      </c>
    </row>
    <row r="65" spans="1:24">
      <c r="A65" s="36">
        <v>41</v>
      </c>
      <c r="B65" s="6" t="s">
        <v>22</v>
      </c>
      <c r="C65" s="30">
        <v>8</v>
      </c>
      <c r="D65" s="30">
        <v>3</v>
      </c>
      <c r="E65" s="6" t="s">
        <v>186</v>
      </c>
      <c r="F65" s="6" t="s">
        <v>117</v>
      </c>
      <c r="G65" s="53">
        <v>42758</v>
      </c>
      <c r="H65" s="19"/>
      <c r="I65" s="6" t="s">
        <v>208</v>
      </c>
      <c r="J65" s="92">
        <v>1</v>
      </c>
      <c r="K65" s="110">
        <v>0.05</v>
      </c>
      <c r="L65" s="92">
        <f t="shared" si="4"/>
        <v>0</v>
      </c>
      <c r="M65" s="20">
        <f t="shared" si="3"/>
        <v>0</v>
      </c>
      <c r="N65" s="114">
        <v>1</v>
      </c>
      <c r="O65" s="37">
        <v>42761</v>
      </c>
      <c r="P65" s="5"/>
      <c r="Q65" s="30"/>
      <c r="R65" s="30"/>
      <c r="S65" s="40"/>
      <c r="T65" s="36"/>
      <c r="U65" s="6"/>
      <c r="V65" s="30"/>
      <c r="W65" s="30"/>
      <c r="X65" s="40"/>
    </row>
    <row r="66" spans="1:24">
      <c r="A66" s="36">
        <v>41</v>
      </c>
      <c r="B66" s="6" t="s">
        <v>22</v>
      </c>
      <c r="C66" s="30">
        <v>8</v>
      </c>
      <c r="D66" s="30">
        <v>3</v>
      </c>
      <c r="E66" s="6" t="s">
        <v>186</v>
      </c>
      <c r="F66" s="6" t="s">
        <v>117</v>
      </c>
      <c r="G66" s="53">
        <v>42775</v>
      </c>
      <c r="H66" s="19">
        <v>42775</v>
      </c>
      <c r="I66" s="6" t="s">
        <v>217</v>
      </c>
      <c r="J66" s="92">
        <v>2</v>
      </c>
      <c r="K66" s="110">
        <v>1.95</v>
      </c>
      <c r="L66" s="92">
        <f t="shared" si="4"/>
        <v>7</v>
      </c>
      <c r="M66" s="20">
        <f t="shared" si="3"/>
        <v>0.14000000000000001</v>
      </c>
      <c r="N66" s="114">
        <v>1</v>
      </c>
      <c r="O66" s="37">
        <v>42779</v>
      </c>
      <c r="P66" s="5"/>
      <c r="Q66" s="30">
        <v>2</v>
      </c>
      <c r="R66" s="30">
        <v>2</v>
      </c>
      <c r="S66" s="40">
        <v>3</v>
      </c>
      <c r="T66" s="36">
        <v>0</v>
      </c>
      <c r="U66" s="6">
        <v>0</v>
      </c>
      <c r="V66" s="30">
        <v>0</v>
      </c>
      <c r="W66" s="30">
        <v>0</v>
      </c>
      <c r="X66" s="40">
        <v>0</v>
      </c>
    </row>
    <row r="67" spans="1:24">
      <c r="A67" s="36">
        <v>42</v>
      </c>
      <c r="B67" s="6" t="s">
        <v>22</v>
      </c>
      <c r="C67" s="6">
        <v>9</v>
      </c>
      <c r="D67" s="30">
        <v>4</v>
      </c>
      <c r="E67" s="6" t="s">
        <v>181</v>
      </c>
      <c r="F67" s="6" t="s">
        <v>118</v>
      </c>
      <c r="G67" s="53">
        <v>42758</v>
      </c>
      <c r="H67" s="19">
        <v>42755</v>
      </c>
      <c r="I67" s="19"/>
      <c r="J67" s="92">
        <v>1</v>
      </c>
      <c r="K67" s="110">
        <v>2</v>
      </c>
      <c r="L67" s="92">
        <f t="shared" si="4"/>
        <v>35</v>
      </c>
      <c r="M67" s="20">
        <f t="shared" si="3"/>
        <v>0.7</v>
      </c>
      <c r="N67" s="114" t="s">
        <v>30</v>
      </c>
      <c r="O67" s="37">
        <v>42766</v>
      </c>
      <c r="P67" s="5">
        <v>-2</v>
      </c>
      <c r="Q67" s="30">
        <v>2</v>
      </c>
      <c r="R67" s="30">
        <v>2</v>
      </c>
      <c r="S67" s="40">
        <v>3</v>
      </c>
      <c r="T67" s="36">
        <v>11</v>
      </c>
      <c r="U67" s="30">
        <v>3</v>
      </c>
      <c r="V67" s="30">
        <v>8</v>
      </c>
      <c r="W67" s="30">
        <v>5</v>
      </c>
      <c r="X67" s="40">
        <v>3</v>
      </c>
    </row>
    <row r="68" spans="1:24">
      <c r="A68" s="36">
        <v>43</v>
      </c>
      <c r="B68" s="6" t="s">
        <v>22</v>
      </c>
      <c r="C68" s="6">
        <v>10</v>
      </c>
      <c r="D68" s="30">
        <v>3</v>
      </c>
      <c r="E68" s="6" t="s">
        <v>48</v>
      </c>
      <c r="F68" s="6" t="s">
        <v>119</v>
      </c>
      <c r="G68" s="53">
        <v>42758</v>
      </c>
      <c r="H68" s="19">
        <v>42758</v>
      </c>
      <c r="I68" s="19"/>
      <c r="J68" s="92">
        <v>1</v>
      </c>
      <c r="K68" s="110">
        <v>2</v>
      </c>
      <c r="L68" s="92">
        <f t="shared" si="4"/>
        <v>39</v>
      </c>
      <c r="M68" s="20">
        <f t="shared" si="3"/>
        <v>0.78</v>
      </c>
      <c r="N68" s="114">
        <v>4</v>
      </c>
      <c r="O68" s="37">
        <v>42768</v>
      </c>
      <c r="P68" s="5">
        <v>-2</v>
      </c>
      <c r="Q68" s="6">
        <v>2</v>
      </c>
      <c r="R68" s="6">
        <v>2</v>
      </c>
      <c r="S68" s="22">
        <v>3</v>
      </c>
      <c r="T68" s="5">
        <v>9</v>
      </c>
      <c r="U68" s="6">
        <v>9</v>
      </c>
      <c r="V68" s="6">
        <v>8</v>
      </c>
      <c r="W68" s="6">
        <v>5</v>
      </c>
      <c r="X68" s="22">
        <v>3</v>
      </c>
    </row>
    <row r="69" spans="1:24">
      <c r="A69" s="36">
        <v>44</v>
      </c>
      <c r="B69" s="6" t="s">
        <v>22</v>
      </c>
      <c r="C69" s="30">
        <v>11</v>
      </c>
      <c r="D69" s="30">
        <v>3</v>
      </c>
      <c r="E69" s="6" t="s">
        <v>183</v>
      </c>
      <c r="F69" s="6" t="s">
        <v>120</v>
      </c>
      <c r="G69" s="53">
        <v>42758</v>
      </c>
      <c r="H69" s="6"/>
      <c r="I69" s="6" t="s">
        <v>208</v>
      </c>
      <c r="J69" s="92">
        <v>1</v>
      </c>
      <c r="K69" s="110">
        <v>0.05</v>
      </c>
      <c r="L69" s="92">
        <f t="shared" si="4"/>
        <v>0</v>
      </c>
      <c r="M69" s="20">
        <f t="shared" si="3"/>
        <v>0</v>
      </c>
      <c r="N69" s="114">
        <v>1</v>
      </c>
      <c r="O69" s="37">
        <v>42761</v>
      </c>
      <c r="P69" s="5"/>
      <c r="Q69" s="6"/>
      <c r="R69" s="6"/>
      <c r="S69" s="22"/>
      <c r="T69" s="5"/>
      <c r="U69" s="6"/>
      <c r="V69" s="6"/>
      <c r="W69" s="6"/>
      <c r="X69" s="22"/>
    </row>
    <row r="70" spans="1:24">
      <c r="A70" s="36">
        <v>44</v>
      </c>
      <c r="B70" s="6" t="s">
        <v>22</v>
      </c>
      <c r="C70" s="30">
        <v>11</v>
      </c>
      <c r="D70" s="30">
        <v>3</v>
      </c>
      <c r="E70" s="6" t="s">
        <v>183</v>
      </c>
      <c r="F70" s="6" t="s">
        <v>120</v>
      </c>
      <c r="G70" s="53">
        <v>42775</v>
      </c>
      <c r="H70" s="19">
        <v>42775</v>
      </c>
      <c r="I70" s="6"/>
      <c r="J70" s="92">
        <v>2</v>
      </c>
      <c r="K70" s="110">
        <v>1.95</v>
      </c>
      <c r="L70" s="92">
        <f t="shared" si="4"/>
        <v>44</v>
      </c>
      <c r="M70" s="20">
        <f t="shared" si="3"/>
        <v>0.88</v>
      </c>
      <c r="N70" s="114">
        <v>5</v>
      </c>
      <c r="O70" s="37">
        <v>42779</v>
      </c>
      <c r="P70" s="5">
        <v>-1</v>
      </c>
      <c r="Q70" s="6">
        <v>2</v>
      </c>
      <c r="R70" s="6">
        <v>2</v>
      </c>
      <c r="S70" s="22">
        <v>2</v>
      </c>
      <c r="T70" s="5">
        <v>10</v>
      </c>
      <c r="U70" s="6">
        <v>12</v>
      </c>
      <c r="V70" s="6">
        <v>8</v>
      </c>
      <c r="W70" s="6">
        <v>6</v>
      </c>
      <c r="X70" s="22">
        <v>3</v>
      </c>
    </row>
    <row r="71" spans="1:24">
      <c r="A71" s="36">
        <v>45</v>
      </c>
      <c r="B71" s="6" t="s">
        <v>22</v>
      </c>
      <c r="C71" s="6">
        <v>12</v>
      </c>
      <c r="D71" s="30">
        <v>3</v>
      </c>
      <c r="E71" s="6" t="s">
        <v>184</v>
      </c>
      <c r="F71" s="6" t="s">
        <v>121</v>
      </c>
      <c r="G71" s="53">
        <v>42758</v>
      </c>
      <c r="H71" s="19"/>
      <c r="I71" s="6" t="s">
        <v>208</v>
      </c>
      <c r="J71" s="92">
        <v>1</v>
      </c>
      <c r="K71" s="110">
        <v>2</v>
      </c>
      <c r="L71" s="92">
        <f t="shared" si="4"/>
        <v>0</v>
      </c>
      <c r="M71" s="20">
        <f t="shared" si="3"/>
        <v>0</v>
      </c>
      <c r="N71" s="114">
        <v>1</v>
      </c>
      <c r="O71" s="37">
        <v>42761</v>
      </c>
      <c r="P71" s="5"/>
      <c r="Q71" s="6"/>
      <c r="R71" s="6"/>
      <c r="S71" s="22"/>
      <c r="T71" s="5"/>
      <c r="U71" s="6"/>
      <c r="V71" s="6"/>
      <c r="W71" s="6"/>
      <c r="X71" s="22"/>
    </row>
    <row r="72" spans="1:24">
      <c r="A72" s="36">
        <v>46</v>
      </c>
      <c r="B72" s="6" t="s">
        <v>22</v>
      </c>
      <c r="C72" s="6">
        <v>13</v>
      </c>
      <c r="D72" s="30">
        <v>3</v>
      </c>
      <c r="E72" s="30" t="s">
        <v>14</v>
      </c>
      <c r="F72" s="6" t="s">
        <v>46</v>
      </c>
      <c r="G72" s="53">
        <v>42758</v>
      </c>
      <c r="H72" s="19"/>
      <c r="I72" s="6" t="s">
        <v>208</v>
      </c>
      <c r="J72" s="92">
        <v>1</v>
      </c>
      <c r="K72" s="110">
        <v>0.05</v>
      </c>
      <c r="L72" s="92">
        <f t="shared" si="4"/>
        <v>0</v>
      </c>
      <c r="M72" s="20">
        <f t="shared" si="3"/>
        <v>0</v>
      </c>
      <c r="N72" s="114">
        <v>1</v>
      </c>
      <c r="O72" s="37">
        <v>42761</v>
      </c>
      <c r="P72" s="5"/>
      <c r="Q72" s="6"/>
      <c r="R72" s="6"/>
      <c r="S72" s="22"/>
      <c r="T72" s="5"/>
      <c r="U72" s="6"/>
      <c r="V72" s="6"/>
      <c r="W72" s="6"/>
      <c r="X72" s="22"/>
    </row>
    <row r="73" spans="1:24">
      <c r="A73" s="36">
        <v>46</v>
      </c>
      <c r="B73" s="6" t="s">
        <v>22</v>
      </c>
      <c r="C73" s="6">
        <v>13</v>
      </c>
      <c r="D73" s="30">
        <v>3</v>
      </c>
      <c r="E73" s="30" t="s">
        <v>14</v>
      </c>
      <c r="F73" s="6" t="s">
        <v>46</v>
      </c>
      <c r="G73" s="53">
        <v>42775</v>
      </c>
      <c r="H73" s="19">
        <v>42775</v>
      </c>
      <c r="I73" s="6" t="s">
        <v>217</v>
      </c>
      <c r="J73" s="92">
        <v>2</v>
      </c>
      <c r="K73" s="110">
        <v>0.03</v>
      </c>
      <c r="L73" s="92">
        <f t="shared" si="4"/>
        <v>7</v>
      </c>
      <c r="M73" s="20">
        <f t="shared" si="3"/>
        <v>0.14000000000000001</v>
      </c>
      <c r="N73" s="114">
        <v>1</v>
      </c>
      <c r="O73" s="37">
        <v>42779</v>
      </c>
      <c r="P73" s="5"/>
      <c r="Q73" s="6">
        <v>2</v>
      </c>
      <c r="R73" s="6">
        <v>2</v>
      </c>
      <c r="S73" s="22">
        <v>3</v>
      </c>
      <c r="T73" s="5">
        <v>0</v>
      </c>
      <c r="U73" s="6">
        <v>0</v>
      </c>
      <c r="V73" s="6">
        <v>0</v>
      </c>
      <c r="W73" s="6">
        <v>0</v>
      </c>
      <c r="X73" s="22">
        <v>0</v>
      </c>
    </row>
    <row r="74" spans="1:24">
      <c r="A74" s="36">
        <v>46</v>
      </c>
      <c r="B74" s="6" t="s">
        <v>22</v>
      </c>
      <c r="C74" s="6">
        <v>13</v>
      </c>
      <c r="D74" s="30">
        <v>3</v>
      </c>
      <c r="E74" s="30" t="s">
        <v>14</v>
      </c>
      <c r="F74" s="6" t="s">
        <v>46</v>
      </c>
      <c r="G74" s="53">
        <v>42782</v>
      </c>
      <c r="H74" s="19">
        <v>42782</v>
      </c>
      <c r="I74" s="6"/>
      <c r="J74" s="92">
        <v>3</v>
      </c>
      <c r="K74" s="110">
        <v>1.92</v>
      </c>
      <c r="L74" s="92">
        <f>SUM(P74:X74)</f>
        <v>42</v>
      </c>
      <c r="M74" s="20">
        <f>L74/$L$2</f>
        <v>0.84</v>
      </c>
      <c r="N74" s="114" t="s">
        <v>33</v>
      </c>
      <c r="O74" s="37">
        <v>42787</v>
      </c>
      <c r="P74" s="5">
        <v>-1</v>
      </c>
      <c r="Q74" s="6">
        <v>2</v>
      </c>
      <c r="R74" s="6">
        <v>2</v>
      </c>
      <c r="S74" s="22">
        <v>3</v>
      </c>
      <c r="T74" s="5">
        <v>9</v>
      </c>
      <c r="U74" s="6">
        <v>12</v>
      </c>
      <c r="V74" s="6">
        <v>7</v>
      </c>
      <c r="W74" s="6">
        <v>5</v>
      </c>
      <c r="X74" s="22">
        <v>3</v>
      </c>
    </row>
    <row r="75" spans="1:24">
      <c r="A75" s="36">
        <v>47</v>
      </c>
      <c r="B75" s="30" t="s">
        <v>22</v>
      </c>
      <c r="C75" s="30">
        <v>14</v>
      </c>
      <c r="D75" s="30">
        <v>4</v>
      </c>
      <c r="E75" s="30" t="s">
        <v>187</v>
      </c>
      <c r="F75" s="30" t="s">
        <v>123</v>
      </c>
      <c r="G75" s="53">
        <v>42758</v>
      </c>
      <c r="H75" s="19"/>
      <c r="I75" s="6" t="s">
        <v>208</v>
      </c>
      <c r="J75" s="92">
        <v>1</v>
      </c>
      <c r="K75" s="110">
        <v>0.09</v>
      </c>
      <c r="L75" s="92">
        <f t="shared" si="4"/>
        <v>0</v>
      </c>
      <c r="M75" s="20">
        <f t="shared" si="3"/>
        <v>0</v>
      </c>
      <c r="N75" s="114">
        <v>1</v>
      </c>
      <c r="O75" s="37">
        <v>42761</v>
      </c>
      <c r="P75" s="5"/>
      <c r="Q75" s="6"/>
      <c r="R75" s="6"/>
      <c r="S75" s="22"/>
      <c r="T75" s="5"/>
      <c r="U75" s="6"/>
      <c r="V75" s="6"/>
      <c r="W75" s="6"/>
      <c r="X75" s="22"/>
    </row>
    <row r="76" spans="1:24">
      <c r="A76" s="36">
        <v>47</v>
      </c>
      <c r="B76" s="30" t="s">
        <v>22</v>
      </c>
      <c r="C76" s="30">
        <v>14</v>
      </c>
      <c r="D76" s="30">
        <v>4</v>
      </c>
      <c r="E76" s="30" t="s">
        <v>187</v>
      </c>
      <c r="F76" s="30" t="s">
        <v>123</v>
      </c>
      <c r="G76" s="53">
        <v>42767</v>
      </c>
      <c r="H76" s="19">
        <v>42767</v>
      </c>
      <c r="I76" s="6"/>
      <c r="J76" s="92">
        <v>2</v>
      </c>
      <c r="K76" s="110">
        <v>1.91</v>
      </c>
      <c r="L76" s="92">
        <f t="shared" si="4"/>
        <v>25</v>
      </c>
      <c r="M76" s="20">
        <f t="shared" si="3"/>
        <v>0.5</v>
      </c>
      <c r="N76" s="114" t="s">
        <v>31</v>
      </c>
      <c r="O76" s="37">
        <v>42779</v>
      </c>
      <c r="P76" s="5">
        <v>-5</v>
      </c>
      <c r="Q76" s="6">
        <v>2</v>
      </c>
      <c r="R76" s="6">
        <v>2</v>
      </c>
      <c r="S76" s="22">
        <v>3</v>
      </c>
      <c r="T76" s="5">
        <v>8</v>
      </c>
      <c r="U76" s="6">
        <v>4</v>
      </c>
      <c r="V76" s="6">
        <v>5</v>
      </c>
      <c r="W76" s="6">
        <v>3</v>
      </c>
      <c r="X76" s="22">
        <v>3</v>
      </c>
    </row>
    <row r="77" spans="1:24">
      <c r="A77" s="36">
        <v>48</v>
      </c>
      <c r="B77" s="30" t="s">
        <v>22</v>
      </c>
      <c r="C77" s="6">
        <v>15</v>
      </c>
      <c r="D77" s="30">
        <v>3</v>
      </c>
      <c r="E77" s="6" t="s">
        <v>186</v>
      </c>
      <c r="F77" s="30" t="s">
        <v>124</v>
      </c>
      <c r="G77" s="53">
        <v>42758</v>
      </c>
      <c r="H77" s="19"/>
      <c r="I77" s="6" t="s">
        <v>208</v>
      </c>
      <c r="J77" s="92">
        <v>1</v>
      </c>
      <c r="K77" s="110">
        <v>0.08</v>
      </c>
      <c r="L77" s="92">
        <f t="shared" si="4"/>
        <v>0</v>
      </c>
      <c r="M77" s="20">
        <f t="shared" ref="M77:M122" si="5">L77/$L$2</f>
        <v>0</v>
      </c>
      <c r="N77" s="114">
        <v>1</v>
      </c>
      <c r="O77" s="37">
        <v>42761</v>
      </c>
      <c r="P77" s="5"/>
      <c r="Q77" s="6"/>
      <c r="R77" s="6"/>
      <c r="S77" s="22"/>
      <c r="T77" s="5"/>
      <c r="U77" s="6"/>
      <c r="V77" s="6"/>
      <c r="W77" s="6"/>
      <c r="X77" s="22"/>
    </row>
    <row r="78" spans="1:24">
      <c r="A78" s="36">
        <v>48</v>
      </c>
      <c r="B78" s="30" t="s">
        <v>22</v>
      </c>
      <c r="C78" s="6">
        <v>15</v>
      </c>
      <c r="D78" s="30">
        <v>3</v>
      </c>
      <c r="E78" s="6" t="s">
        <v>186</v>
      </c>
      <c r="F78" s="30" t="s">
        <v>124</v>
      </c>
      <c r="G78" s="53">
        <v>42766</v>
      </c>
      <c r="H78" s="19">
        <v>42766</v>
      </c>
      <c r="I78" s="6" t="s">
        <v>284</v>
      </c>
      <c r="J78" s="92">
        <v>2</v>
      </c>
      <c r="K78" s="110">
        <v>1.92</v>
      </c>
      <c r="L78" s="92">
        <f t="shared" si="4"/>
        <v>26</v>
      </c>
      <c r="M78" s="20">
        <f t="shared" si="5"/>
        <v>0.52</v>
      </c>
      <c r="N78" s="114" t="s">
        <v>31</v>
      </c>
      <c r="O78" s="37">
        <v>42779</v>
      </c>
      <c r="P78" s="5">
        <v>-1</v>
      </c>
      <c r="Q78" s="6">
        <v>1</v>
      </c>
      <c r="R78" s="6">
        <v>2</v>
      </c>
      <c r="S78" s="22">
        <v>3</v>
      </c>
      <c r="T78" s="5">
        <v>6</v>
      </c>
      <c r="U78" s="6">
        <v>4</v>
      </c>
      <c r="V78" s="6">
        <v>8</v>
      </c>
      <c r="W78" s="6">
        <v>0</v>
      </c>
      <c r="X78" s="22">
        <v>3</v>
      </c>
    </row>
    <row r="79" spans="1:24">
      <c r="A79" s="36">
        <v>49</v>
      </c>
      <c r="B79" s="30" t="s">
        <v>22</v>
      </c>
      <c r="C79" s="6">
        <v>16</v>
      </c>
      <c r="D79" s="30">
        <v>4</v>
      </c>
      <c r="E79" s="30" t="s">
        <v>125</v>
      </c>
      <c r="F79" s="30" t="s">
        <v>126</v>
      </c>
      <c r="G79" s="53">
        <v>42758</v>
      </c>
      <c r="H79" s="19"/>
      <c r="I79" s="6" t="s">
        <v>208</v>
      </c>
      <c r="J79" s="92">
        <v>1</v>
      </c>
      <c r="K79" s="110">
        <v>0.06</v>
      </c>
      <c r="L79" s="92">
        <f>SUM(P79:X79)</f>
        <v>0</v>
      </c>
      <c r="M79" s="20">
        <f t="shared" si="5"/>
        <v>0</v>
      </c>
      <c r="N79" s="114">
        <v>1</v>
      </c>
      <c r="O79" s="37">
        <v>42761</v>
      </c>
      <c r="P79" s="5"/>
      <c r="Q79" s="6"/>
      <c r="R79" s="6"/>
      <c r="S79" s="22"/>
      <c r="T79" s="5"/>
      <c r="U79" s="6"/>
      <c r="V79" s="6"/>
      <c r="W79" s="6"/>
      <c r="X79" s="22"/>
    </row>
    <row r="80" spans="1:24">
      <c r="A80" s="36">
        <v>49</v>
      </c>
      <c r="B80" s="30" t="s">
        <v>22</v>
      </c>
      <c r="C80" s="6">
        <v>16</v>
      </c>
      <c r="D80" s="30">
        <v>4</v>
      </c>
      <c r="E80" s="30" t="s">
        <v>125</v>
      </c>
      <c r="F80" s="30" t="s">
        <v>126</v>
      </c>
      <c r="G80" s="53">
        <v>42764</v>
      </c>
      <c r="H80" s="19">
        <v>42764</v>
      </c>
      <c r="I80" s="6" t="s">
        <v>285</v>
      </c>
      <c r="J80" s="92">
        <v>2</v>
      </c>
      <c r="K80" s="110">
        <v>1.94</v>
      </c>
      <c r="L80" s="92">
        <f>SUM(P80:X80)</f>
        <v>27</v>
      </c>
      <c r="M80" s="20">
        <f t="shared" si="5"/>
        <v>0.54</v>
      </c>
      <c r="N80" s="114" t="s">
        <v>31</v>
      </c>
      <c r="O80" s="37">
        <v>42779</v>
      </c>
      <c r="P80" s="5">
        <v>-1</v>
      </c>
      <c r="Q80" s="6">
        <v>2</v>
      </c>
      <c r="R80" s="6">
        <v>2</v>
      </c>
      <c r="S80" s="22">
        <v>3</v>
      </c>
      <c r="T80" s="5">
        <v>6</v>
      </c>
      <c r="U80" s="6">
        <v>4</v>
      </c>
      <c r="V80" s="6">
        <v>8</v>
      </c>
      <c r="W80" s="6">
        <v>0</v>
      </c>
      <c r="X80" s="22">
        <v>3</v>
      </c>
    </row>
    <row r="81" spans="1:24">
      <c r="A81" s="36">
        <v>50</v>
      </c>
      <c r="B81" s="30" t="s">
        <v>22</v>
      </c>
      <c r="C81" s="30">
        <v>17</v>
      </c>
      <c r="D81" s="30">
        <v>3</v>
      </c>
      <c r="E81" s="30" t="s">
        <v>127</v>
      </c>
      <c r="F81" s="30" t="s">
        <v>52</v>
      </c>
      <c r="G81" s="53">
        <v>42758</v>
      </c>
      <c r="H81" s="19">
        <v>42757</v>
      </c>
      <c r="I81" s="19"/>
      <c r="J81" s="92">
        <v>1</v>
      </c>
      <c r="K81" s="110">
        <v>2</v>
      </c>
      <c r="L81" s="92">
        <f t="shared" ref="L81:L98" si="6">SUM(P81:X81)</f>
        <v>36</v>
      </c>
      <c r="M81" s="20">
        <f t="shared" si="5"/>
        <v>0.72</v>
      </c>
      <c r="N81" s="114">
        <v>4</v>
      </c>
      <c r="O81" s="37">
        <v>42768</v>
      </c>
      <c r="P81" s="5">
        <v>-5</v>
      </c>
      <c r="Q81" s="6">
        <v>2</v>
      </c>
      <c r="R81" s="6">
        <v>2</v>
      </c>
      <c r="S81" s="22">
        <v>0</v>
      </c>
      <c r="T81" s="5">
        <v>10</v>
      </c>
      <c r="U81" s="6">
        <v>11</v>
      </c>
      <c r="V81" s="6">
        <v>8</v>
      </c>
      <c r="W81" s="6">
        <v>5</v>
      </c>
      <c r="X81" s="22">
        <v>3</v>
      </c>
    </row>
    <row r="82" spans="1:24">
      <c r="A82" s="36">
        <v>51</v>
      </c>
      <c r="B82" s="30" t="s">
        <v>22</v>
      </c>
      <c r="C82" s="6">
        <v>18</v>
      </c>
      <c r="D82" s="30">
        <v>3</v>
      </c>
      <c r="E82" s="30" t="s">
        <v>128</v>
      </c>
      <c r="F82" s="30" t="s">
        <v>129</v>
      </c>
      <c r="G82" s="53">
        <v>42758</v>
      </c>
      <c r="H82" s="19"/>
      <c r="I82" s="19" t="s">
        <v>208</v>
      </c>
      <c r="J82" s="92">
        <v>1</v>
      </c>
      <c r="K82" s="110">
        <v>2</v>
      </c>
      <c r="L82" s="92">
        <f t="shared" si="6"/>
        <v>0</v>
      </c>
      <c r="M82" s="20">
        <f t="shared" si="5"/>
        <v>0</v>
      </c>
      <c r="N82" s="114">
        <v>1</v>
      </c>
      <c r="O82" s="37">
        <v>42761</v>
      </c>
      <c r="P82" s="5"/>
      <c r="Q82" s="6"/>
      <c r="R82" s="6"/>
      <c r="S82" s="22"/>
      <c r="T82" s="5"/>
      <c r="U82" s="6"/>
      <c r="V82" s="6"/>
      <c r="W82" s="6"/>
      <c r="X82" s="22"/>
    </row>
    <row r="83" spans="1:24">
      <c r="A83" s="36">
        <v>52</v>
      </c>
      <c r="B83" s="30" t="s">
        <v>22</v>
      </c>
      <c r="C83" s="6">
        <v>19</v>
      </c>
      <c r="D83" s="30">
        <v>3</v>
      </c>
      <c r="E83" s="30" t="s">
        <v>14</v>
      </c>
      <c r="F83" s="30" t="s">
        <v>130</v>
      </c>
      <c r="G83" s="53">
        <v>42758</v>
      </c>
      <c r="H83" s="19">
        <v>42758</v>
      </c>
      <c r="I83" s="19"/>
      <c r="J83" s="92">
        <v>1</v>
      </c>
      <c r="K83" s="110">
        <v>1.75</v>
      </c>
      <c r="L83" s="92">
        <f t="shared" si="6"/>
        <v>19</v>
      </c>
      <c r="M83" s="20">
        <f t="shared" si="5"/>
        <v>0.38</v>
      </c>
      <c r="N83" s="114">
        <v>2</v>
      </c>
      <c r="O83" s="37">
        <v>42768</v>
      </c>
      <c r="P83" s="5">
        <v>-10</v>
      </c>
      <c r="Q83" s="6">
        <v>1</v>
      </c>
      <c r="R83" s="6">
        <v>2</v>
      </c>
      <c r="S83" s="22">
        <v>3</v>
      </c>
      <c r="T83" s="5">
        <v>4</v>
      </c>
      <c r="U83" s="6">
        <v>4</v>
      </c>
      <c r="V83" s="6">
        <v>8</v>
      </c>
      <c r="W83" s="6">
        <v>4</v>
      </c>
      <c r="X83" s="22">
        <v>3</v>
      </c>
    </row>
    <row r="84" spans="1:24">
      <c r="A84" s="36">
        <v>52</v>
      </c>
      <c r="B84" s="30" t="s">
        <v>22</v>
      </c>
      <c r="C84" s="6">
        <v>19</v>
      </c>
      <c r="D84" s="30">
        <v>3</v>
      </c>
      <c r="E84" s="30" t="s">
        <v>14</v>
      </c>
      <c r="F84" s="30" t="s">
        <v>130</v>
      </c>
      <c r="G84" s="53">
        <v>42788</v>
      </c>
      <c r="H84" s="19">
        <v>42813</v>
      </c>
      <c r="I84" s="19" t="s">
        <v>305</v>
      </c>
      <c r="J84" s="92">
        <v>2</v>
      </c>
      <c r="K84" s="110">
        <v>0.25</v>
      </c>
      <c r="L84" s="92">
        <f t="shared" si="6"/>
        <v>1</v>
      </c>
      <c r="M84" s="20">
        <f t="shared" si="5"/>
        <v>0.02</v>
      </c>
      <c r="N84" s="114">
        <v>2</v>
      </c>
      <c r="O84" s="37">
        <v>42817</v>
      </c>
      <c r="P84" s="5">
        <v>-24</v>
      </c>
      <c r="Q84" s="6">
        <v>1</v>
      </c>
      <c r="R84" s="6">
        <v>2</v>
      </c>
      <c r="S84" s="22">
        <v>3</v>
      </c>
      <c r="T84" s="5">
        <v>10</v>
      </c>
      <c r="U84" s="6">
        <v>2</v>
      </c>
      <c r="V84" s="6">
        <v>5</v>
      </c>
      <c r="W84" s="6">
        <v>2</v>
      </c>
      <c r="X84" s="22">
        <v>0</v>
      </c>
    </row>
    <row r="85" spans="1:24">
      <c r="A85" s="36">
        <v>53</v>
      </c>
      <c r="B85" s="30" t="s">
        <v>22</v>
      </c>
      <c r="C85" s="30">
        <v>20</v>
      </c>
      <c r="D85" s="30">
        <v>3</v>
      </c>
      <c r="E85" s="6" t="s">
        <v>48</v>
      </c>
      <c r="F85" s="30" t="s">
        <v>131</v>
      </c>
      <c r="G85" s="53">
        <v>42758</v>
      </c>
      <c r="H85" s="19">
        <v>42757</v>
      </c>
      <c r="I85" s="19"/>
      <c r="J85" s="92">
        <v>1</v>
      </c>
      <c r="K85" s="110">
        <v>0.1</v>
      </c>
      <c r="L85" s="92">
        <f t="shared" si="6"/>
        <v>27</v>
      </c>
      <c r="M85" s="20">
        <f t="shared" si="5"/>
        <v>0.54</v>
      </c>
      <c r="N85" s="114" t="s">
        <v>31</v>
      </c>
      <c r="O85" s="37">
        <v>42768</v>
      </c>
      <c r="P85" s="5">
        <v>-7</v>
      </c>
      <c r="Q85" s="6">
        <v>2</v>
      </c>
      <c r="R85" s="6">
        <v>2</v>
      </c>
      <c r="S85" s="22">
        <v>3</v>
      </c>
      <c r="T85" s="5">
        <v>6</v>
      </c>
      <c r="U85" s="6">
        <v>6</v>
      </c>
      <c r="V85" s="6">
        <v>8</v>
      </c>
      <c r="W85" s="6">
        <v>4</v>
      </c>
      <c r="X85" s="22">
        <v>3</v>
      </c>
    </row>
    <row r="86" spans="1:24">
      <c r="A86" s="36">
        <v>53</v>
      </c>
      <c r="B86" s="30" t="s">
        <v>22</v>
      </c>
      <c r="C86" s="30">
        <v>20</v>
      </c>
      <c r="D86" s="30">
        <v>3</v>
      </c>
      <c r="E86" s="6" t="s">
        <v>48</v>
      </c>
      <c r="F86" s="30" t="s">
        <v>131</v>
      </c>
      <c r="G86" s="53">
        <v>42796</v>
      </c>
      <c r="H86" s="19">
        <v>42796</v>
      </c>
      <c r="I86" s="19"/>
      <c r="J86" s="92">
        <v>2</v>
      </c>
      <c r="K86" s="110">
        <v>1.9</v>
      </c>
      <c r="L86" s="92">
        <f>SUM(P86:X86)</f>
        <v>44</v>
      </c>
      <c r="M86" s="20">
        <f>L86/$L$2</f>
        <v>0.88</v>
      </c>
      <c r="N86" s="114">
        <v>5</v>
      </c>
      <c r="O86" s="37">
        <v>42801</v>
      </c>
      <c r="P86" s="5">
        <v>-2</v>
      </c>
      <c r="Q86" s="6">
        <v>2</v>
      </c>
      <c r="R86" s="6">
        <v>2</v>
      </c>
      <c r="S86" s="22">
        <v>2</v>
      </c>
      <c r="T86" s="5">
        <v>12</v>
      </c>
      <c r="U86" s="6">
        <v>11</v>
      </c>
      <c r="V86" s="6">
        <v>7</v>
      </c>
      <c r="W86" s="6">
        <v>7</v>
      </c>
      <c r="X86" s="22">
        <v>3</v>
      </c>
    </row>
    <row r="87" spans="1:24">
      <c r="A87" s="36">
        <v>54</v>
      </c>
      <c r="B87" s="30" t="s">
        <v>22</v>
      </c>
      <c r="C87" s="6">
        <v>21</v>
      </c>
      <c r="D87" s="30">
        <v>4</v>
      </c>
      <c r="E87" s="30" t="s">
        <v>185</v>
      </c>
      <c r="F87" s="30" t="s">
        <v>60</v>
      </c>
      <c r="G87" s="53">
        <v>42758</v>
      </c>
      <c r="H87" s="19"/>
      <c r="I87" s="19" t="s">
        <v>208</v>
      </c>
      <c r="J87" s="92">
        <v>1</v>
      </c>
      <c r="K87" s="110">
        <v>2</v>
      </c>
      <c r="L87" s="92">
        <f t="shared" si="6"/>
        <v>0</v>
      </c>
      <c r="M87" s="20">
        <f t="shared" si="5"/>
        <v>0</v>
      </c>
      <c r="N87" s="114">
        <v>1</v>
      </c>
      <c r="O87" s="37">
        <v>42761</v>
      </c>
      <c r="P87" s="5"/>
      <c r="Q87" s="6"/>
      <c r="R87" s="6"/>
      <c r="S87" s="22"/>
      <c r="T87" s="5"/>
      <c r="U87" s="6"/>
      <c r="V87" s="6"/>
      <c r="W87" s="6"/>
      <c r="X87" s="22"/>
    </row>
    <row r="88" spans="1:24">
      <c r="A88" s="36">
        <v>55</v>
      </c>
      <c r="B88" s="30" t="s">
        <v>22</v>
      </c>
      <c r="C88" s="6">
        <v>22</v>
      </c>
      <c r="D88" s="30">
        <v>4</v>
      </c>
      <c r="E88" s="30" t="s">
        <v>0</v>
      </c>
      <c r="F88" s="30" t="s">
        <v>106</v>
      </c>
      <c r="G88" s="53">
        <v>42758</v>
      </c>
      <c r="H88" s="19">
        <v>42756</v>
      </c>
      <c r="I88" s="19"/>
      <c r="J88" s="92">
        <v>1</v>
      </c>
      <c r="K88" s="110">
        <v>2</v>
      </c>
      <c r="L88" s="92">
        <f t="shared" si="6"/>
        <v>31</v>
      </c>
      <c r="M88" s="20">
        <f t="shared" si="5"/>
        <v>0.62</v>
      </c>
      <c r="N88" s="114">
        <v>3</v>
      </c>
      <c r="O88" s="37">
        <v>42766</v>
      </c>
      <c r="P88" s="5">
        <v>-3</v>
      </c>
      <c r="Q88" s="6">
        <v>2</v>
      </c>
      <c r="R88" s="6">
        <v>2</v>
      </c>
      <c r="S88" s="22">
        <v>2</v>
      </c>
      <c r="T88" s="5">
        <v>11</v>
      </c>
      <c r="U88" s="6">
        <v>0</v>
      </c>
      <c r="V88" s="6">
        <v>8</v>
      </c>
      <c r="W88" s="30">
        <v>6</v>
      </c>
      <c r="X88" s="40">
        <v>3</v>
      </c>
    </row>
    <row r="89" spans="1:24">
      <c r="A89" s="36">
        <v>56</v>
      </c>
      <c r="B89" s="6" t="s">
        <v>22</v>
      </c>
      <c r="C89" s="30">
        <v>23</v>
      </c>
      <c r="D89" s="30">
        <v>3</v>
      </c>
      <c r="E89" s="6" t="s">
        <v>12</v>
      </c>
      <c r="F89" s="6" t="s">
        <v>132</v>
      </c>
      <c r="G89" s="53">
        <v>42758</v>
      </c>
      <c r="H89" s="19">
        <v>42755</v>
      </c>
      <c r="I89" s="19"/>
      <c r="J89" s="92">
        <v>1</v>
      </c>
      <c r="K89" s="110">
        <v>0.16</v>
      </c>
      <c r="L89" s="92">
        <f t="shared" si="6"/>
        <v>3</v>
      </c>
      <c r="M89" s="20">
        <f t="shared" si="5"/>
        <v>0.06</v>
      </c>
      <c r="N89" s="114">
        <v>1</v>
      </c>
      <c r="O89" s="37">
        <v>42768</v>
      </c>
      <c r="P89" s="5">
        <v>-25</v>
      </c>
      <c r="Q89" s="6">
        <v>2</v>
      </c>
      <c r="R89" s="6">
        <v>2</v>
      </c>
      <c r="S89" s="22">
        <v>3</v>
      </c>
      <c r="T89" s="5">
        <v>5</v>
      </c>
      <c r="U89" s="6">
        <v>5</v>
      </c>
      <c r="V89" s="6">
        <v>4</v>
      </c>
      <c r="W89" s="6">
        <v>4</v>
      </c>
      <c r="X89" s="22">
        <v>3</v>
      </c>
    </row>
    <row r="90" spans="1:24">
      <c r="A90" s="36">
        <v>56</v>
      </c>
      <c r="B90" s="6" t="s">
        <v>22</v>
      </c>
      <c r="C90" s="30">
        <v>23</v>
      </c>
      <c r="D90" s="30">
        <v>3</v>
      </c>
      <c r="E90" s="6" t="s">
        <v>12</v>
      </c>
      <c r="F90" s="6" t="s">
        <v>132</v>
      </c>
      <c r="G90" s="53">
        <v>42784</v>
      </c>
      <c r="H90" s="19">
        <v>42784</v>
      </c>
      <c r="I90" s="19"/>
      <c r="J90" s="92">
        <v>2</v>
      </c>
      <c r="K90" s="110">
        <v>1.84</v>
      </c>
      <c r="L90" s="92">
        <f>SUM(P90:X90)</f>
        <v>30</v>
      </c>
      <c r="M90" s="20">
        <f>L90/$L$2</f>
        <v>0.6</v>
      </c>
      <c r="N90" s="114">
        <v>3</v>
      </c>
      <c r="O90" s="37">
        <v>42787</v>
      </c>
      <c r="P90" s="5">
        <v>-5</v>
      </c>
      <c r="Q90" s="6">
        <v>2</v>
      </c>
      <c r="R90" s="6">
        <v>2</v>
      </c>
      <c r="S90" s="22">
        <v>3</v>
      </c>
      <c r="T90" s="5">
        <v>9</v>
      </c>
      <c r="U90" s="6">
        <v>3</v>
      </c>
      <c r="V90" s="6">
        <v>8</v>
      </c>
      <c r="W90" s="6">
        <v>5</v>
      </c>
      <c r="X90" s="22">
        <v>3</v>
      </c>
    </row>
    <row r="91" spans="1:24">
      <c r="A91" s="36">
        <v>57</v>
      </c>
      <c r="B91" s="30" t="s">
        <v>22</v>
      </c>
      <c r="C91" s="6">
        <v>24</v>
      </c>
      <c r="D91" s="30">
        <v>3</v>
      </c>
      <c r="E91" s="30" t="s">
        <v>0</v>
      </c>
      <c r="F91" s="30" t="s">
        <v>54</v>
      </c>
      <c r="G91" s="53">
        <v>42758</v>
      </c>
      <c r="H91" s="19"/>
      <c r="I91" s="19" t="s">
        <v>208</v>
      </c>
      <c r="J91" s="92">
        <v>1</v>
      </c>
      <c r="K91" s="110">
        <v>0.05</v>
      </c>
      <c r="L91" s="92">
        <f t="shared" si="6"/>
        <v>0</v>
      </c>
      <c r="M91" s="20">
        <f t="shared" si="5"/>
        <v>0</v>
      </c>
      <c r="N91" s="114">
        <v>1</v>
      </c>
      <c r="O91" s="37">
        <v>42761</v>
      </c>
      <c r="P91" s="5"/>
      <c r="Q91" s="6"/>
      <c r="R91" s="6"/>
      <c r="S91" s="22"/>
      <c r="T91" s="5"/>
      <c r="U91" s="6"/>
      <c r="V91" s="6"/>
      <c r="W91" s="6"/>
      <c r="X91" s="22"/>
    </row>
    <row r="92" spans="1:24">
      <c r="A92" s="36">
        <v>57</v>
      </c>
      <c r="B92" s="30" t="s">
        <v>22</v>
      </c>
      <c r="C92" s="6">
        <v>24</v>
      </c>
      <c r="D92" s="30">
        <v>3</v>
      </c>
      <c r="E92" s="30" t="s">
        <v>0</v>
      </c>
      <c r="F92" s="30" t="s">
        <v>54</v>
      </c>
      <c r="G92" s="53">
        <v>42762</v>
      </c>
      <c r="H92" s="19">
        <v>42762</v>
      </c>
      <c r="I92" s="19" t="s">
        <v>283</v>
      </c>
      <c r="J92" s="92">
        <v>2</v>
      </c>
      <c r="K92" s="110">
        <v>1.95</v>
      </c>
      <c r="L92" s="92">
        <f t="shared" si="6"/>
        <v>7</v>
      </c>
      <c r="M92" s="20">
        <f t="shared" si="5"/>
        <v>0.14000000000000001</v>
      </c>
      <c r="N92" s="114">
        <v>1</v>
      </c>
      <c r="O92" s="37">
        <v>42779</v>
      </c>
      <c r="P92" s="5">
        <v>-18</v>
      </c>
      <c r="Q92" s="6">
        <v>2</v>
      </c>
      <c r="R92" s="6">
        <v>2</v>
      </c>
      <c r="S92" s="22">
        <v>3</v>
      </c>
      <c r="T92" s="5">
        <v>6</v>
      </c>
      <c r="U92" s="6">
        <v>0</v>
      </c>
      <c r="V92" s="6">
        <v>8</v>
      </c>
      <c r="W92" s="6">
        <v>1</v>
      </c>
      <c r="X92" s="22">
        <v>3</v>
      </c>
    </row>
    <row r="93" spans="1:24">
      <c r="A93" s="36">
        <v>58</v>
      </c>
      <c r="B93" s="30" t="s">
        <v>22</v>
      </c>
      <c r="C93" s="6">
        <v>25</v>
      </c>
      <c r="D93" s="30">
        <v>3</v>
      </c>
      <c r="E93" s="30" t="s">
        <v>100</v>
      </c>
      <c r="F93" s="30" t="s">
        <v>133</v>
      </c>
      <c r="G93" s="53">
        <v>42758</v>
      </c>
      <c r="H93" s="19">
        <v>42755</v>
      </c>
      <c r="I93" s="19"/>
      <c r="J93" s="92">
        <v>1</v>
      </c>
      <c r="K93" s="110">
        <v>0.16</v>
      </c>
      <c r="L93" s="92">
        <f t="shared" si="6"/>
        <v>3</v>
      </c>
      <c r="M93" s="20">
        <f t="shared" si="5"/>
        <v>0.06</v>
      </c>
      <c r="N93" s="114">
        <v>1</v>
      </c>
      <c r="O93" s="37">
        <v>42768</v>
      </c>
      <c r="P93" s="5">
        <v>-25</v>
      </c>
      <c r="Q93" s="6">
        <v>2</v>
      </c>
      <c r="R93" s="6">
        <v>2</v>
      </c>
      <c r="S93" s="22">
        <v>3</v>
      </c>
      <c r="T93" s="5">
        <v>5</v>
      </c>
      <c r="U93" s="6">
        <v>5</v>
      </c>
      <c r="V93" s="6">
        <v>4</v>
      </c>
      <c r="W93" s="6">
        <v>4</v>
      </c>
      <c r="X93" s="22">
        <v>3</v>
      </c>
    </row>
    <row r="94" spans="1:24">
      <c r="A94" s="36">
        <v>58</v>
      </c>
      <c r="B94" s="30" t="s">
        <v>22</v>
      </c>
      <c r="C94" s="6">
        <v>25</v>
      </c>
      <c r="D94" s="30">
        <v>3</v>
      </c>
      <c r="E94" s="30" t="s">
        <v>100</v>
      </c>
      <c r="F94" s="30" t="s">
        <v>133</v>
      </c>
      <c r="G94" s="53">
        <v>42784</v>
      </c>
      <c r="H94" s="19">
        <v>42784</v>
      </c>
      <c r="I94" s="19" t="s">
        <v>217</v>
      </c>
      <c r="J94" s="92">
        <v>2</v>
      </c>
      <c r="K94" s="110">
        <v>0.1</v>
      </c>
      <c r="L94" s="92">
        <f>SUM(P94:X94)</f>
        <v>7</v>
      </c>
      <c r="M94" s="20">
        <f>L94/$L$2</f>
        <v>0.14000000000000001</v>
      </c>
      <c r="N94" s="114">
        <v>1</v>
      </c>
      <c r="O94" s="37">
        <v>42787</v>
      </c>
      <c r="P94" s="5"/>
      <c r="Q94" s="6">
        <v>2</v>
      </c>
      <c r="R94" s="6">
        <v>2</v>
      </c>
      <c r="S94" s="22">
        <v>3</v>
      </c>
      <c r="T94" s="5"/>
      <c r="U94" s="6"/>
      <c r="V94" s="6"/>
      <c r="W94" s="6"/>
      <c r="X94" s="22"/>
    </row>
    <row r="95" spans="1:24">
      <c r="A95" s="36">
        <v>58</v>
      </c>
      <c r="B95" s="30" t="s">
        <v>22</v>
      </c>
      <c r="C95" s="6">
        <v>25</v>
      </c>
      <c r="D95" s="30">
        <v>3</v>
      </c>
      <c r="E95" s="30" t="s">
        <v>100</v>
      </c>
      <c r="F95" s="30" t="s">
        <v>133</v>
      </c>
      <c r="G95" s="53">
        <v>42797</v>
      </c>
      <c r="H95" s="19">
        <v>42797</v>
      </c>
      <c r="I95" s="19"/>
      <c r="J95" s="92">
        <v>3</v>
      </c>
      <c r="K95" s="110">
        <v>1.74</v>
      </c>
      <c r="L95" s="92">
        <f>SUM(P95:X95)</f>
        <v>29</v>
      </c>
      <c r="M95" s="20">
        <f>L95/$L$2</f>
        <v>0.57999999999999996</v>
      </c>
      <c r="N95" s="114">
        <v>3</v>
      </c>
      <c r="O95" s="37">
        <v>42801</v>
      </c>
      <c r="P95" s="5">
        <v>-8</v>
      </c>
      <c r="Q95" s="6">
        <v>2</v>
      </c>
      <c r="R95" s="6">
        <v>2</v>
      </c>
      <c r="S95" s="22">
        <v>2</v>
      </c>
      <c r="T95" s="5">
        <v>9</v>
      </c>
      <c r="U95" s="6">
        <v>6</v>
      </c>
      <c r="V95" s="6">
        <v>7</v>
      </c>
      <c r="W95" s="6">
        <v>6</v>
      </c>
      <c r="X95" s="22">
        <v>3</v>
      </c>
    </row>
    <row r="96" spans="1:24">
      <c r="A96" s="36">
        <v>59</v>
      </c>
      <c r="B96" s="30" t="s">
        <v>22</v>
      </c>
      <c r="C96" s="30">
        <v>26</v>
      </c>
      <c r="D96" s="30">
        <v>4</v>
      </c>
      <c r="E96" s="6" t="s">
        <v>12</v>
      </c>
      <c r="F96" s="30" t="s">
        <v>111</v>
      </c>
      <c r="G96" s="53">
        <v>42758</v>
      </c>
      <c r="H96" s="19">
        <v>42758</v>
      </c>
      <c r="I96" s="19"/>
      <c r="J96" s="92">
        <v>1</v>
      </c>
      <c r="K96" s="110">
        <v>2</v>
      </c>
      <c r="L96" s="92">
        <f t="shared" si="6"/>
        <v>42</v>
      </c>
      <c r="M96" s="20">
        <f t="shared" si="5"/>
        <v>0.84</v>
      </c>
      <c r="N96" s="114" t="s">
        <v>33</v>
      </c>
      <c r="O96" s="37">
        <v>42766</v>
      </c>
      <c r="P96" s="5">
        <v>-2</v>
      </c>
      <c r="Q96" s="6">
        <v>2</v>
      </c>
      <c r="R96" s="6">
        <v>2</v>
      </c>
      <c r="S96" s="22">
        <v>3</v>
      </c>
      <c r="T96" s="5">
        <v>10</v>
      </c>
      <c r="U96" s="6">
        <v>11</v>
      </c>
      <c r="V96" s="6">
        <v>8</v>
      </c>
      <c r="W96" s="6">
        <v>5</v>
      </c>
      <c r="X96" s="22">
        <v>3</v>
      </c>
    </row>
    <row r="97" spans="1:24">
      <c r="A97" s="143">
        <v>60</v>
      </c>
      <c r="B97" s="96" t="s">
        <v>22</v>
      </c>
      <c r="C97" s="97">
        <v>27</v>
      </c>
      <c r="D97" s="96">
        <v>3</v>
      </c>
      <c r="E97" s="96" t="s">
        <v>19</v>
      </c>
      <c r="F97" s="96" t="s">
        <v>111</v>
      </c>
      <c r="G97" s="130">
        <v>42758</v>
      </c>
      <c r="H97" s="100"/>
      <c r="I97" s="100" t="s">
        <v>208</v>
      </c>
      <c r="J97" s="103">
        <v>1</v>
      </c>
      <c r="K97" s="102">
        <v>0.06</v>
      </c>
      <c r="L97" s="103">
        <f t="shared" si="6"/>
        <v>0</v>
      </c>
      <c r="M97" s="144">
        <f t="shared" si="5"/>
        <v>0</v>
      </c>
      <c r="N97" s="119">
        <v>1</v>
      </c>
      <c r="O97" s="101">
        <v>42761</v>
      </c>
      <c r="P97" s="116"/>
      <c r="Q97" s="97"/>
      <c r="R97" s="97"/>
      <c r="S97" s="117"/>
      <c r="T97" s="116"/>
      <c r="U97" s="97"/>
      <c r="V97" s="97"/>
      <c r="W97" s="97"/>
      <c r="X97" s="117"/>
    </row>
    <row r="98" spans="1:24" ht="15" thickBot="1">
      <c r="A98" s="38">
        <v>60</v>
      </c>
      <c r="B98" s="31" t="s">
        <v>22</v>
      </c>
      <c r="C98" s="24">
        <v>27</v>
      </c>
      <c r="D98" s="31">
        <v>3</v>
      </c>
      <c r="E98" s="31" t="s">
        <v>19</v>
      </c>
      <c r="F98" s="31" t="s">
        <v>111</v>
      </c>
      <c r="G98" s="54">
        <v>42764</v>
      </c>
      <c r="H98" s="25">
        <v>42764</v>
      </c>
      <c r="I98" s="19" t="s">
        <v>287</v>
      </c>
      <c r="J98" s="93">
        <v>2</v>
      </c>
      <c r="K98" s="111">
        <v>1.94</v>
      </c>
      <c r="L98" s="93">
        <f t="shared" si="6"/>
        <v>38</v>
      </c>
      <c r="M98" s="26">
        <f t="shared" si="5"/>
        <v>0.76</v>
      </c>
      <c r="N98" s="115">
        <v>4</v>
      </c>
      <c r="O98" s="99">
        <v>42779</v>
      </c>
      <c r="P98" s="23">
        <v>-4</v>
      </c>
      <c r="Q98" s="24">
        <v>2</v>
      </c>
      <c r="R98" s="24">
        <v>2</v>
      </c>
      <c r="S98" s="28">
        <v>3</v>
      </c>
      <c r="T98" s="23">
        <v>10</v>
      </c>
      <c r="U98" s="24">
        <v>10</v>
      </c>
      <c r="V98" s="24">
        <v>8</v>
      </c>
      <c r="W98" s="24">
        <v>4</v>
      </c>
      <c r="X98" s="28">
        <v>3</v>
      </c>
    </row>
    <row r="99" spans="1:24">
      <c r="A99" s="35">
        <v>61</v>
      </c>
      <c r="B99" s="33" t="s">
        <v>23</v>
      </c>
      <c r="C99" s="4">
        <v>1</v>
      </c>
      <c r="D99" s="33">
        <v>6</v>
      </c>
      <c r="E99" s="33" t="s">
        <v>12</v>
      </c>
      <c r="F99" s="4" t="s">
        <v>134</v>
      </c>
      <c r="G99" s="55">
        <v>42758</v>
      </c>
      <c r="H99" s="4"/>
      <c r="I99" s="52" t="s">
        <v>208</v>
      </c>
      <c r="J99" s="94">
        <v>1</v>
      </c>
      <c r="K99" s="109">
        <v>2</v>
      </c>
      <c r="L99" s="94">
        <f t="shared" ref="L99:L122" si="7">SUM(P99:X99)</f>
        <v>0</v>
      </c>
      <c r="M99" s="15">
        <f t="shared" si="5"/>
        <v>0</v>
      </c>
      <c r="N99" s="52">
        <v>1</v>
      </c>
      <c r="O99" s="95">
        <v>42761</v>
      </c>
      <c r="P99" s="3"/>
      <c r="Q99" s="4"/>
      <c r="R99" s="4"/>
      <c r="S99" s="17"/>
      <c r="T99" s="4"/>
      <c r="U99" s="4"/>
      <c r="V99" s="4"/>
      <c r="W99" s="4"/>
      <c r="X99" s="17"/>
    </row>
    <row r="100" spans="1:24">
      <c r="A100" s="36">
        <v>62</v>
      </c>
      <c r="B100" s="30" t="s">
        <v>23</v>
      </c>
      <c r="C100" s="6">
        <v>2</v>
      </c>
      <c r="D100" s="30">
        <v>5</v>
      </c>
      <c r="E100" s="30" t="s">
        <v>12</v>
      </c>
      <c r="F100" s="30" t="s">
        <v>135</v>
      </c>
      <c r="G100" s="53">
        <v>42758</v>
      </c>
      <c r="H100" s="19"/>
      <c r="I100" s="32" t="s">
        <v>208</v>
      </c>
      <c r="J100" s="92">
        <v>1</v>
      </c>
      <c r="K100" s="110">
        <v>0.22</v>
      </c>
      <c r="L100" s="92">
        <f t="shared" si="7"/>
        <v>0</v>
      </c>
      <c r="M100" s="20">
        <f t="shared" si="5"/>
        <v>0</v>
      </c>
      <c r="N100" s="32">
        <v>1</v>
      </c>
      <c r="O100" s="37">
        <v>42761</v>
      </c>
      <c r="P100" s="5"/>
      <c r="Q100" s="6"/>
      <c r="R100" s="6"/>
      <c r="S100" s="22"/>
      <c r="T100" s="6"/>
      <c r="U100" s="6"/>
      <c r="V100" s="6"/>
      <c r="W100" s="6"/>
      <c r="X100" s="22"/>
    </row>
    <row r="101" spans="1:24">
      <c r="A101" s="36">
        <v>62</v>
      </c>
      <c r="B101" s="30" t="s">
        <v>23</v>
      </c>
      <c r="C101" s="6">
        <v>2</v>
      </c>
      <c r="D101" s="30">
        <v>5</v>
      </c>
      <c r="E101" s="30" t="s">
        <v>12</v>
      </c>
      <c r="F101" s="30" t="s">
        <v>135</v>
      </c>
      <c r="G101" s="53">
        <v>42780</v>
      </c>
      <c r="H101" s="19">
        <v>42780</v>
      </c>
      <c r="I101" s="32"/>
      <c r="J101" s="92">
        <v>2</v>
      </c>
      <c r="K101" s="110">
        <v>1.78</v>
      </c>
      <c r="L101" s="92">
        <f>SUM(P101:X101)</f>
        <v>40</v>
      </c>
      <c r="M101" s="20">
        <f t="shared" si="5"/>
        <v>0.8</v>
      </c>
      <c r="N101" s="32" t="s">
        <v>34</v>
      </c>
      <c r="O101" s="37">
        <v>42787</v>
      </c>
      <c r="P101" s="5">
        <v>-3</v>
      </c>
      <c r="Q101" s="6">
        <v>2</v>
      </c>
      <c r="R101" s="6">
        <v>2</v>
      </c>
      <c r="S101" s="22">
        <v>3</v>
      </c>
      <c r="T101" s="6">
        <v>10</v>
      </c>
      <c r="U101" s="6">
        <v>10</v>
      </c>
      <c r="V101" s="6">
        <v>8</v>
      </c>
      <c r="W101" s="6">
        <v>5</v>
      </c>
      <c r="X101" s="22">
        <v>3</v>
      </c>
    </row>
    <row r="102" spans="1:24">
      <c r="A102" s="36">
        <v>63</v>
      </c>
      <c r="B102" s="30" t="s">
        <v>23</v>
      </c>
      <c r="C102" s="30">
        <v>3</v>
      </c>
      <c r="D102" s="30">
        <v>6</v>
      </c>
      <c r="E102" s="30" t="s">
        <v>82</v>
      </c>
      <c r="F102" s="6" t="s">
        <v>136</v>
      </c>
      <c r="G102" s="53">
        <v>42758</v>
      </c>
      <c r="H102" s="19">
        <v>42758</v>
      </c>
      <c r="I102" s="32" t="s">
        <v>294</v>
      </c>
      <c r="J102" s="92">
        <v>1</v>
      </c>
      <c r="K102" s="110">
        <v>2</v>
      </c>
      <c r="L102" s="92">
        <f t="shared" si="7"/>
        <v>34</v>
      </c>
      <c r="M102" s="20">
        <f t="shared" si="5"/>
        <v>0.68</v>
      </c>
      <c r="N102" s="32" t="s">
        <v>32</v>
      </c>
      <c r="O102" s="37">
        <v>42787</v>
      </c>
      <c r="P102" s="5">
        <v>-7</v>
      </c>
      <c r="Q102" s="6">
        <v>2</v>
      </c>
      <c r="R102" s="6">
        <v>2</v>
      </c>
      <c r="S102" s="22">
        <v>3</v>
      </c>
      <c r="T102" s="6">
        <v>11</v>
      </c>
      <c r="U102" s="6">
        <v>5</v>
      </c>
      <c r="V102" s="6">
        <v>8</v>
      </c>
      <c r="W102" s="6">
        <v>7</v>
      </c>
      <c r="X102" s="22">
        <v>3</v>
      </c>
    </row>
    <row r="103" spans="1:24">
      <c r="A103" s="36">
        <v>64</v>
      </c>
      <c r="B103" s="30" t="s">
        <v>23</v>
      </c>
      <c r="C103" s="6">
        <v>4</v>
      </c>
      <c r="D103" s="30">
        <v>5</v>
      </c>
      <c r="E103" s="30" t="s">
        <v>10</v>
      </c>
      <c r="F103" s="30" t="s">
        <v>137</v>
      </c>
      <c r="G103" s="53">
        <v>42758</v>
      </c>
      <c r="H103" s="19"/>
      <c r="I103" s="32" t="s">
        <v>208</v>
      </c>
      <c r="J103" s="92">
        <v>1</v>
      </c>
      <c r="K103" s="110">
        <v>2</v>
      </c>
      <c r="L103" s="92">
        <f t="shared" si="7"/>
        <v>0</v>
      </c>
      <c r="M103" s="20">
        <f t="shared" si="5"/>
        <v>0</v>
      </c>
      <c r="N103" s="32">
        <v>1</v>
      </c>
      <c r="O103" s="37">
        <v>42761</v>
      </c>
      <c r="P103" s="5"/>
      <c r="Q103" s="6"/>
      <c r="R103" s="6"/>
      <c r="S103" s="22"/>
      <c r="T103" s="6"/>
      <c r="U103" s="6"/>
      <c r="V103" s="6"/>
      <c r="W103" s="6"/>
      <c r="X103" s="22"/>
    </row>
    <row r="104" spans="1:24">
      <c r="A104" s="36">
        <v>65</v>
      </c>
      <c r="B104" s="30" t="s">
        <v>23</v>
      </c>
      <c r="C104" s="6">
        <v>5</v>
      </c>
      <c r="D104" s="30">
        <v>6</v>
      </c>
      <c r="E104" s="30" t="s">
        <v>68</v>
      </c>
      <c r="F104" s="6" t="s">
        <v>138</v>
      </c>
      <c r="G104" s="53">
        <v>42758</v>
      </c>
      <c r="H104" s="19">
        <v>42758</v>
      </c>
      <c r="I104" s="32" t="s">
        <v>292</v>
      </c>
      <c r="J104" s="92">
        <v>1</v>
      </c>
      <c r="K104" s="110">
        <v>0.57999999999999996</v>
      </c>
      <c r="L104" s="92">
        <v>7</v>
      </c>
      <c r="M104" s="20">
        <f t="shared" si="5"/>
        <v>0.14000000000000001</v>
      </c>
      <c r="N104" s="32">
        <v>1</v>
      </c>
      <c r="O104" s="37">
        <v>42787</v>
      </c>
      <c r="P104" s="5">
        <v>-4</v>
      </c>
      <c r="Q104" s="6">
        <v>2</v>
      </c>
      <c r="R104" s="6">
        <v>2</v>
      </c>
      <c r="S104" s="22">
        <v>3</v>
      </c>
      <c r="T104" s="6">
        <v>10</v>
      </c>
      <c r="U104" s="6">
        <v>10</v>
      </c>
      <c r="V104" s="6">
        <v>8</v>
      </c>
      <c r="W104" s="6">
        <v>3</v>
      </c>
      <c r="X104" s="22">
        <v>3</v>
      </c>
    </row>
    <row r="105" spans="1:24">
      <c r="A105" s="36">
        <v>65</v>
      </c>
      <c r="B105" s="30" t="s">
        <v>23</v>
      </c>
      <c r="C105" s="6">
        <v>5</v>
      </c>
      <c r="D105" s="30">
        <v>6</v>
      </c>
      <c r="E105" s="30" t="s">
        <v>68</v>
      </c>
      <c r="F105" s="6" t="s">
        <v>138</v>
      </c>
      <c r="G105" s="53">
        <v>42795</v>
      </c>
      <c r="H105" s="19">
        <v>42795</v>
      </c>
      <c r="I105" s="32"/>
      <c r="J105" s="92">
        <v>2</v>
      </c>
      <c r="K105" s="110">
        <v>1.42</v>
      </c>
      <c r="L105" s="92">
        <f t="shared" si="7"/>
        <v>38</v>
      </c>
      <c r="M105" s="20">
        <f t="shared" si="5"/>
        <v>0.76</v>
      </c>
      <c r="N105" s="32">
        <v>4</v>
      </c>
      <c r="O105" s="37">
        <v>42800</v>
      </c>
      <c r="P105" s="5">
        <v>-2</v>
      </c>
      <c r="Q105" s="6">
        <v>2</v>
      </c>
      <c r="R105" s="6">
        <v>1</v>
      </c>
      <c r="S105" s="22">
        <v>3</v>
      </c>
      <c r="T105" s="6">
        <v>10</v>
      </c>
      <c r="U105" s="6">
        <v>9</v>
      </c>
      <c r="V105" s="6">
        <v>8</v>
      </c>
      <c r="W105" s="6">
        <v>4</v>
      </c>
      <c r="X105" s="22">
        <v>3</v>
      </c>
    </row>
    <row r="106" spans="1:24">
      <c r="A106" s="36">
        <v>66</v>
      </c>
      <c r="B106" s="30" t="s">
        <v>23</v>
      </c>
      <c r="C106" s="30">
        <v>6</v>
      </c>
      <c r="D106" s="30">
        <v>5</v>
      </c>
      <c r="E106" s="30" t="s">
        <v>12</v>
      </c>
      <c r="F106" s="30" t="s">
        <v>45</v>
      </c>
      <c r="G106" s="53">
        <v>42758</v>
      </c>
      <c r="H106" s="19">
        <v>42758</v>
      </c>
      <c r="I106" s="32" t="s">
        <v>288</v>
      </c>
      <c r="J106" s="92">
        <v>1</v>
      </c>
      <c r="K106" s="110">
        <v>2</v>
      </c>
      <c r="L106" s="92">
        <f t="shared" si="7"/>
        <v>42</v>
      </c>
      <c r="M106" s="20">
        <f t="shared" si="5"/>
        <v>0.84</v>
      </c>
      <c r="N106" s="32" t="s">
        <v>33</v>
      </c>
      <c r="O106" s="37">
        <v>42787</v>
      </c>
      <c r="P106" s="5">
        <v>0</v>
      </c>
      <c r="Q106" s="6">
        <v>2</v>
      </c>
      <c r="R106" s="6">
        <v>2</v>
      </c>
      <c r="S106" s="22">
        <v>3</v>
      </c>
      <c r="T106" s="6">
        <v>10</v>
      </c>
      <c r="U106" s="6">
        <v>10</v>
      </c>
      <c r="V106" s="6">
        <v>6</v>
      </c>
      <c r="W106" s="6">
        <v>6</v>
      </c>
      <c r="X106" s="22">
        <v>3</v>
      </c>
    </row>
    <row r="107" spans="1:24">
      <c r="A107" s="36">
        <v>67</v>
      </c>
      <c r="B107" s="30" t="s">
        <v>23</v>
      </c>
      <c r="C107" s="6">
        <v>7</v>
      </c>
      <c r="D107" s="30">
        <v>6</v>
      </c>
      <c r="E107" s="30" t="s">
        <v>190</v>
      </c>
      <c r="F107" s="6" t="s">
        <v>139</v>
      </c>
      <c r="G107" s="53">
        <v>42758</v>
      </c>
      <c r="H107" s="19"/>
      <c r="I107" s="32" t="s">
        <v>208</v>
      </c>
      <c r="J107" s="92">
        <v>1</v>
      </c>
      <c r="K107" s="110">
        <v>2</v>
      </c>
      <c r="L107" s="92">
        <f t="shared" si="7"/>
        <v>0</v>
      </c>
      <c r="M107" s="20">
        <f t="shared" si="5"/>
        <v>0</v>
      </c>
      <c r="N107" s="32">
        <v>1</v>
      </c>
      <c r="O107" s="37">
        <v>42761</v>
      </c>
      <c r="P107" s="5"/>
      <c r="Q107" s="6"/>
      <c r="R107" s="6"/>
      <c r="S107" s="22"/>
      <c r="T107" s="6"/>
      <c r="U107" s="6"/>
      <c r="V107" s="6"/>
      <c r="W107" s="6"/>
      <c r="X107" s="22"/>
    </row>
    <row r="108" spans="1:24">
      <c r="A108" s="36">
        <v>68</v>
      </c>
      <c r="B108" s="30" t="s">
        <v>23</v>
      </c>
      <c r="C108" s="6">
        <v>8</v>
      </c>
      <c r="D108" s="30">
        <v>6</v>
      </c>
      <c r="E108" s="30" t="s">
        <v>82</v>
      </c>
      <c r="F108" s="6" t="s">
        <v>140</v>
      </c>
      <c r="G108" s="53">
        <v>42758</v>
      </c>
      <c r="H108" s="19"/>
      <c r="I108" s="32" t="s">
        <v>208</v>
      </c>
      <c r="J108" s="92">
        <v>1</v>
      </c>
      <c r="K108" s="110">
        <v>0.75</v>
      </c>
      <c r="L108" s="92">
        <f t="shared" si="7"/>
        <v>0</v>
      </c>
      <c r="M108" s="20">
        <f t="shared" si="5"/>
        <v>0</v>
      </c>
      <c r="N108" s="131">
        <v>1</v>
      </c>
      <c r="O108" s="37">
        <v>42761</v>
      </c>
      <c r="P108" s="36"/>
      <c r="Q108" s="30"/>
      <c r="R108" s="30"/>
      <c r="S108" s="40"/>
      <c r="T108" s="30"/>
      <c r="U108" s="30"/>
      <c r="V108" s="30"/>
      <c r="W108" s="30"/>
      <c r="X108" s="40"/>
    </row>
    <row r="109" spans="1:24">
      <c r="A109" s="36">
        <v>68</v>
      </c>
      <c r="B109" s="30" t="s">
        <v>23</v>
      </c>
      <c r="C109" s="6">
        <v>8</v>
      </c>
      <c r="D109" s="30">
        <v>6</v>
      </c>
      <c r="E109" s="30" t="s">
        <v>82</v>
      </c>
      <c r="F109" s="6" t="s">
        <v>140</v>
      </c>
      <c r="G109" s="53">
        <v>42895</v>
      </c>
      <c r="H109" s="19">
        <v>42895</v>
      </c>
      <c r="I109" s="32" t="s">
        <v>324</v>
      </c>
      <c r="J109" s="92">
        <v>2</v>
      </c>
      <c r="K109" s="110">
        <v>1.25</v>
      </c>
      <c r="L109" s="92">
        <f t="shared" si="7"/>
        <v>0</v>
      </c>
      <c r="M109" s="20">
        <f t="shared" si="5"/>
        <v>0</v>
      </c>
      <c r="N109" s="131"/>
      <c r="O109" s="37">
        <v>42898</v>
      </c>
      <c r="P109" s="36"/>
      <c r="Q109" s="30"/>
      <c r="R109" s="30"/>
      <c r="S109" s="40"/>
      <c r="T109" s="30"/>
      <c r="U109" s="30"/>
      <c r="V109" s="30"/>
      <c r="W109" s="30"/>
      <c r="X109" s="40"/>
    </row>
    <row r="110" spans="1:24">
      <c r="A110" s="36">
        <v>69</v>
      </c>
      <c r="B110" s="30" t="s">
        <v>23</v>
      </c>
      <c r="C110" s="30">
        <v>9</v>
      </c>
      <c r="D110" s="30">
        <v>6</v>
      </c>
      <c r="E110" s="30" t="s">
        <v>65</v>
      </c>
      <c r="F110" s="6" t="s">
        <v>141</v>
      </c>
      <c r="G110" s="53">
        <v>42758</v>
      </c>
      <c r="H110" s="19">
        <v>42758</v>
      </c>
      <c r="I110" s="32" t="s">
        <v>291</v>
      </c>
      <c r="J110" s="92">
        <v>1</v>
      </c>
      <c r="K110" s="110">
        <v>0.57999999999999996</v>
      </c>
      <c r="L110" s="92">
        <v>7</v>
      </c>
      <c r="M110" s="20">
        <f t="shared" si="5"/>
        <v>0.14000000000000001</v>
      </c>
      <c r="N110" s="131">
        <v>1</v>
      </c>
      <c r="O110" s="123">
        <v>42787</v>
      </c>
      <c r="P110" s="145">
        <v>-4</v>
      </c>
      <c r="Q110" s="146">
        <v>2</v>
      </c>
      <c r="R110" s="146">
        <v>2</v>
      </c>
      <c r="S110" s="147">
        <v>3</v>
      </c>
      <c r="T110" s="146">
        <v>9</v>
      </c>
      <c r="U110" s="146">
        <v>9</v>
      </c>
      <c r="V110" s="146">
        <v>6</v>
      </c>
      <c r="W110" s="146">
        <v>6</v>
      </c>
      <c r="X110" s="147">
        <v>3</v>
      </c>
    </row>
    <row r="111" spans="1:24">
      <c r="A111" s="36">
        <v>69</v>
      </c>
      <c r="B111" s="30" t="s">
        <v>23</v>
      </c>
      <c r="C111" s="30">
        <v>9</v>
      </c>
      <c r="D111" s="30">
        <v>6</v>
      </c>
      <c r="E111" s="30" t="s">
        <v>65</v>
      </c>
      <c r="F111" s="6" t="s">
        <v>141</v>
      </c>
      <c r="G111" s="53">
        <v>42795</v>
      </c>
      <c r="H111" s="19">
        <v>42795</v>
      </c>
      <c r="I111" s="32"/>
      <c r="J111" s="92">
        <v>2</v>
      </c>
      <c r="K111" s="110">
        <v>1.42</v>
      </c>
      <c r="L111" s="92">
        <f t="shared" si="7"/>
        <v>31</v>
      </c>
      <c r="M111" s="20">
        <f t="shared" si="5"/>
        <v>0.62</v>
      </c>
      <c r="N111" s="131">
        <v>3</v>
      </c>
      <c r="O111" s="123">
        <v>42800</v>
      </c>
      <c r="P111" s="36">
        <v>-1</v>
      </c>
      <c r="Q111" s="30">
        <v>2</v>
      </c>
      <c r="R111" s="30">
        <v>1</v>
      </c>
      <c r="S111" s="40">
        <v>3</v>
      </c>
      <c r="T111" s="30">
        <v>9</v>
      </c>
      <c r="U111" s="30">
        <v>0</v>
      </c>
      <c r="V111" s="30">
        <v>8</v>
      </c>
      <c r="W111" s="30">
        <v>6</v>
      </c>
      <c r="X111" s="40">
        <v>3</v>
      </c>
    </row>
    <row r="112" spans="1:24">
      <c r="A112" s="36">
        <v>70</v>
      </c>
      <c r="B112" s="30" t="s">
        <v>23</v>
      </c>
      <c r="C112" s="6">
        <v>10</v>
      </c>
      <c r="D112" s="30">
        <v>6</v>
      </c>
      <c r="E112" s="30" t="s">
        <v>14</v>
      </c>
      <c r="F112" s="6" t="s">
        <v>142</v>
      </c>
      <c r="G112" s="53">
        <v>42758</v>
      </c>
      <c r="H112" s="19"/>
      <c r="I112" s="32" t="s">
        <v>208</v>
      </c>
      <c r="J112" s="92">
        <v>1</v>
      </c>
      <c r="K112" s="110">
        <v>0.01</v>
      </c>
      <c r="L112" s="92">
        <f t="shared" si="7"/>
        <v>0</v>
      </c>
      <c r="M112" s="20">
        <f t="shared" si="5"/>
        <v>0</v>
      </c>
      <c r="N112" s="32">
        <v>1</v>
      </c>
      <c r="O112" s="37">
        <v>42761</v>
      </c>
      <c r="P112" s="5"/>
      <c r="Q112" s="6"/>
      <c r="R112" s="6"/>
      <c r="S112" s="22"/>
      <c r="T112" s="6"/>
      <c r="U112" s="6"/>
      <c r="V112" s="6"/>
      <c r="W112" s="6"/>
      <c r="X112" s="22"/>
    </row>
    <row r="113" spans="1:24">
      <c r="A113" s="36">
        <v>70</v>
      </c>
      <c r="B113" s="30" t="s">
        <v>23</v>
      </c>
      <c r="C113" s="6">
        <v>10</v>
      </c>
      <c r="D113" s="30">
        <v>6</v>
      </c>
      <c r="E113" s="30" t="s">
        <v>14</v>
      </c>
      <c r="F113" s="6" t="s">
        <v>142</v>
      </c>
      <c r="G113" s="53">
        <v>42759</v>
      </c>
      <c r="H113" s="19">
        <v>42759</v>
      </c>
      <c r="I113" s="32" t="s">
        <v>286</v>
      </c>
      <c r="J113" s="92">
        <v>2</v>
      </c>
      <c r="K113" s="110">
        <v>0.22</v>
      </c>
      <c r="L113" s="92">
        <v>1</v>
      </c>
      <c r="M113" s="20">
        <f t="shared" si="5"/>
        <v>0.02</v>
      </c>
      <c r="N113" s="32">
        <v>1</v>
      </c>
      <c r="O113" s="123">
        <v>42779</v>
      </c>
      <c r="P113" s="5">
        <v>-2</v>
      </c>
      <c r="Q113" s="6">
        <v>0</v>
      </c>
      <c r="R113" s="6">
        <v>2</v>
      </c>
      <c r="S113" s="22">
        <v>-5</v>
      </c>
      <c r="T113" s="6">
        <v>10</v>
      </c>
      <c r="U113" s="6">
        <v>10</v>
      </c>
      <c r="V113" s="6">
        <v>6</v>
      </c>
      <c r="W113" s="6">
        <v>6</v>
      </c>
      <c r="X113" s="22">
        <v>3</v>
      </c>
    </row>
    <row r="114" spans="1:24">
      <c r="A114" s="36">
        <v>70</v>
      </c>
      <c r="B114" s="30" t="s">
        <v>23</v>
      </c>
      <c r="C114" s="6">
        <v>10</v>
      </c>
      <c r="D114" s="30">
        <v>6</v>
      </c>
      <c r="E114" s="30" t="s">
        <v>14</v>
      </c>
      <c r="F114" s="6" t="s">
        <v>142</v>
      </c>
      <c r="G114" s="53">
        <v>42780</v>
      </c>
      <c r="H114" s="19">
        <v>42780</v>
      </c>
      <c r="I114" s="32" t="s">
        <v>286</v>
      </c>
      <c r="J114" s="92">
        <v>3</v>
      </c>
      <c r="K114" s="110">
        <v>1.77</v>
      </c>
      <c r="L114" s="92">
        <v>1</v>
      </c>
      <c r="M114" s="20">
        <f t="shared" si="5"/>
        <v>0.02</v>
      </c>
      <c r="N114" s="32">
        <v>1</v>
      </c>
      <c r="O114" s="123">
        <v>42787</v>
      </c>
      <c r="P114" s="5">
        <v>-2</v>
      </c>
      <c r="Q114" s="6">
        <v>0</v>
      </c>
      <c r="R114" s="6">
        <v>2</v>
      </c>
      <c r="S114" s="22">
        <v>-5</v>
      </c>
      <c r="T114" s="6">
        <v>10</v>
      </c>
      <c r="U114" s="6">
        <v>10</v>
      </c>
      <c r="V114" s="6">
        <v>6</v>
      </c>
      <c r="W114" s="6">
        <v>6</v>
      </c>
      <c r="X114" s="22">
        <v>3</v>
      </c>
    </row>
    <row r="115" spans="1:24">
      <c r="A115" s="36">
        <v>71</v>
      </c>
      <c r="B115" s="30" t="s">
        <v>23</v>
      </c>
      <c r="C115" s="6">
        <v>11</v>
      </c>
      <c r="D115" s="30">
        <v>6</v>
      </c>
      <c r="E115" s="30" t="s">
        <v>188</v>
      </c>
      <c r="F115" s="30" t="s">
        <v>58</v>
      </c>
      <c r="G115" s="53">
        <v>42758</v>
      </c>
      <c r="H115" s="19">
        <v>42757</v>
      </c>
      <c r="I115" s="32" t="s">
        <v>290</v>
      </c>
      <c r="J115" s="92">
        <v>1</v>
      </c>
      <c r="K115" s="110">
        <v>2</v>
      </c>
      <c r="L115" s="92">
        <f t="shared" si="7"/>
        <v>1</v>
      </c>
      <c r="M115" s="20">
        <f t="shared" si="5"/>
        <v>0.02</v>
      </c>
      <c r="N115" s="32">
        <v>1</v>
      </c>
      <c r="O115" s="123">
        <v>42766</v>
      </c>
      <c r="P115" s="5">
        <v>-2</v>
      </c>
      <c r="Q115" s="6">
        <v>-2</v>
      </c>
      <c r="R115" s="6">
        <v>2</v>
      </c>
      <c r="S115" s="22">
        <v>3</v>
      </c>
      <c r="T115" s="6"/>
      <c r="U115" s="6"/>
      <c r="V115" s="6"/>
      <c r="W115" s="6"/>
      <c r="X115" s="22"/>
    </row>
    <row r="116" spans="1:24">
      <c r="A116" s="36">
        <v>72</v>
      </c>
      <c r="B116" s="30" t="s">
        <v>23</v>
      </c>
      <c r="C116" s="30">
        <v>12</v>
      </c>
      <c r="D116" s="30">
        <v>5</v>
      </c>
      <c r="E116" s="30" t="s">
        <v>79</v>
      </c>
      <c r="F116" s="30" t="s">
        <v>143</v>
      </c>
      <c r="G116" s="53">
        <v>42758</v>
      </c>
      <c r="H116" s="19">
        <v>42758</v>
      </c>
      <c r="I116" s="32"/>
      <c r="J116" s="92">
        <v>1</v>
      </c>
      <c r="K116" s="110">
        <v>2</v>
      </c>
      <c r="L116" s="92">
        <f t="shared" si="7"/>
        <v>32</v>
      </c>
      <c r="M116" s="20">
        <f t="shared" si="5"/>
        <v>0.64</v>
      </c>
      <c r="N116" s="32" t="s">
        <v>32</v>
      </c>
      <c r="O116" s="37">
        <v>42787</v>
      </c>
      <c r="P116" s="145">
        <v>-4</v>
      </c>
      <c r="Q116" s="146">
        <v>2</v>
      </c>
      <c r="R116" s="146">
        <v>2</v>
      </c>
      <c r="S116" s="147">
        <v>3</v>
      </c>
      <c r="T116" s="146">
        <v>8</v>
      </c>
      <c r="U116" s="146">
        <v>8</v>
      </c>
      <c r="V116" s="146">
        <v>5</v>
      </c>
      <c r="W116" s="146">
        <v>5</v>
      </c>
      <c r="X116" s="147">
        <v>3</v>
      </c>
    </row>
    <row r="117" spans="1:24">
      <c r="A117" s="36">
        <v>73</v>
      </c>
      <c r="B117" s="30" t="s">
        <v>23</v>
      </c>
      <c r="C117" s="6">
        <v>13</v>
      </c>
      <c r="D117" s="30">
        <v>6</v>
      </c>
      <c r="E117" s="30" t="s">
        <v>48</v>
      </c>
      <c r="F117" s="30" t="s">
        <v>144</v>
      </c>
      <c r="G117" s="53">
        <v>42758</v>
      </c>
      <c r="H117" s="6"/>
      <c r="I117" s="32" t="s">
        <v>208</v>
      </c>
      <c r="J117" s="92">
        <v>1</v>
      </c>
      <c r="K117" s="110">
        <v>2</v>
      </c>
      <c r="L117" s="92">
        <f t="shared" si="7"/>
        <v>0</v>
      </c>
      <c r="M117" s="20">
        <f t="shared" si="5"/>
        <v>0</v>
      </c>
      <c r="N117" s="32">
        <v>1</v>
      </c>
      <c r="O117" s="37">
        <v>42761</v>
      </c>
      <c r="P117" s="5"/>
      <c r="Q117" s="6"/>
      <c r="R117" s="6"/>
      <c r="S117" s="22"/>
      <c r="T117" s="6"/>
      <c r="U117" s="6"/>
      <c r="V117" s="6"/>
      <c r="W117" s="6"/>
      <c r="X117" s="22"/>
    </row>
    <row r="118" spans="1:24">
      <c r="A118" s="36">
        <v>74</v>
      </c>
      <c r="B118" s="30" t="s">
        <v>23</v>
      </c>
      <c r="C118" s="6">
        <v>14</v>
      </c>
      <c r="D118" s="30">
        <v>5</v>
      </c>
      <c r="E118" s="30" t="s">
        <v>11</v>
      </c>
      <c r="F118" s="30" t="s">
        <v>145</v>
      </c>
      <c r="G118" s="53">
        <v>42758</v>
      </c>
      <c r="H118" s="19">
        <v>42755</v>
      </c>
      <c r="I118" s="32" t="s">
        <v>293</v>
      </c>
      <c r="J118" s="92">
        <v>1</v>
      </c>
      <c r="K118" s="110">
        <v>2</v>
      </c>
      <c r="L118" s="92">
        <f t="shared" si="7"/>
        <v>36</v>
      </c>
      <c r="M118" s="20">
        <f t="shared" si="5"/>
        <v>0.72</v>
      </c>
      <c r="N118" s="32">
        <v>4</v>
      </c>
      <c r="O118" s="37">
        <v>42787</v>
      </c>
      <c r="P118" s="145">
        <v>-4</v>
      </c>
      <c r="Q118" s="146">
        <v>2</v>
      </c>
      <c r="R118" s="146">
        <v>2</v>
      </c>
      <c r="S118" s="147">
        <v>3</v>
      </c>
      <c r="T118" s="146">
        <v>9</v>
      </c>
      <c r="U118" s="146">
        <v>9</v>
      </c>
      <c r="V118" s="146">
        <v>6</v>
      </c>
      <c r="W118" s="146">
        <v>6</v>
      </c>
      <c r="X118" s="147">
        <v>3</v>
      </c>
    </row>
    <row r="119" spans="1:24">
      <c r="A119" s="36">
        <v>75</v>
      </c>
      <c r="B119" s="30" t="s">
        <v>23</v>
      </c>
      <c r="C119" s="30">
        <v>15</v>
      </c>
      <c r="D119" s="30">
        <v>5</v>
      </c>
      <c r="E119" s="30" t="s">
        <v>128</v>
      </c>
      <c r="F119" s="30" t="s">
        <v>55</v>
      </c>
      <c r="G119" s="53">
        <v>42758</v>
      </c>
      <c r="H119" s="6"/>
      <c r="I119" s="32" t="s">
        <v>208</v>
      </c>
      <c r="J119" s="92">
        <v>1</v>
      </c>
      <c r="K119" s="110">
        <v>2</v>
      </c>
      <c r="L119" s="92">
        <f t="shared" si="7"/>
        <v>0</v>
      </c>
      <c r="M119" s="20">
        <f t="shared" si="5"/>
        <v>0</v>
      </c>
      <c r="N119" s="32">
        <v>1</v>
      </c>
      <c r="O119" s="37">
        <v>42761</v>
      </c>
      <c r="P119" s="5"/>
      <c r="Q119" s="6"/>
      <c r="R119" s="6"/>
      <c r="S119" s="22"/>
      <c r="T119" s="6"/>
      <c r="U119" s="6"/>
      <c r="V119" s="6"/>
      <c r="W119" s="6"/>
      <c r="X119" s="22"/>
    </row>
    <row r="120" spans="1:24">
      <c r="A120" s="36">
        <v>76</v>
      </c>
      <c r="B120" s="30" t="s">
        <v>23</v>
      </c>
      <c r="C120" s="6">
        <v>16</v>
      </c>
      <c r="D120" s="30">
        <v>5</v>
      </c>
      <c r="E120" s="30" t="s">
        <v>177</v>
      </c>
      <c r="F120" s="30" t="s">
        <v>146</v>
      </c>
      <c r="G120" s="53">
        <v>42758</v>
      </c>
      <c r="H120" s="19">
        <v>42758</v>
      </c>
      <c r="I120" s="32"/>
      <c r="J120" s="92">
        <v>1</v>
      </c>
      <c r="K120" s="110">
        <v>2</v>
      </c>
      <c r="L120" s="92">
        <f t="shared" si="7"/>
        <v>34</v>
      </c>
      <c r="M120" s="20">
        <f t="shared" si="5"/>
        <v>0.68</v>
      </c>
      <c r="N120" s="32" t="s">
        <v>30</v>
      </c>
      <c r="O120" s="37">
        <v>42787</v>
      </c>
      <c r="P120" s="145">
        <v>-6</v>
      </c>
      <c r="Q120" s="146">
        <v>2</v>
      </c>
      <c r="R120" s="146">
        <v>2</v>
      </c>
      <c r="S120" s="147">
        <v>3</v>
      </c>
      <c r="T120" s="146">
        <v>9</v>
      </c>
      <c r="U120" s="146">
        <v>9</v>
      </c>
      <c r="V120" s="146">
        <v>6</v>
      </c>
      <c r="W120" s="146">
        <v>6</v>
      </c>
      <c r="X120" s="147">
        <v>3</v>
      </c>
    </row>
    <row r="121" spans="1:24">
      <c r="A121" s="36">
        <v>77</v>
      </c>
      <c r="B121" s="30" t="s">
        <v>23</v>
      </c>
      <c r="C121" s="6">
        <v>17</v>
      </c>
      <c r="D121" s="30">
        <v>5</v>
      </c>
      <c r="E121" s="30" t="s">
        <v>79</v>
      </c>
      <c r="F121" s="30" t="s">
        <v>59</v>
      </c>
      <c r="G121" s="53">
        <v>42758</v>
      </c>
      <c r="H121" s="6"/>
      <c r="I121" s="32" t="s">
        <v>208</v>
      </c>
      <c r="J121" s="92">
        <v>1</v>
      </c>
      <c r="K121" s="110">
        <v>2</v>
      </c>
      <c r="L121" s="92">
        <f t="shared" si="7"/>
        <v>0</v>
      </c>
      <c r="M121" s="20">
        <f t="shared" si="5"/>
        <v>0</v>
      </c>
      <c r="N121" s="32">
        <v>1</v>
      </c>
      <c r="O121" s="37">
        <v>42761</v>
      </c>
      <c r="P121" s="5"/>
      <c r="Q121" s="6"/>
      <c r="R121" s="6"/>
      <c r="S121" s="22"/>
      <c r="T121" s="6"/>
      <c r="U121" s="6"/>
      <c r="V121" s="6"/>
      <c r="W121" s="6"/>
      <c r="X121" s="22"/>
    </row>
    <row r="122" spans="1:24" ht="15" thickBot="1">
      <c r="A122" s="38">
        <v>78</v>
      </c>
      <c r="B122" s="31" t="s">
        <v>23</v>
      </c>
      <c r="C122" s="31">
        <v>18</v>
      </c>
      <c r="D122" s="31">
        <v>6</v>
      </c>
      <c r="E122" s="31" t="s">
        <v>191</v>
      </c>
      <c r="F122" s="31" t="s">
        <v>147</v>
      </c>
      <c r="G122" s="54">
        <v>42758</v>
      </c>
      <c r="H122" s="25"/>
      <c r="I122" s="51" t="s">
        <v>208</v>
      </c>
      <c r="J122" s="93">
        <v>1</v>
      </c>
      <c r="K122" s="111">
        <v>2</v>
      </c>
      <c r="L122" s="93">
        <f t="shared" si="7"/>
        <v>0</v>
      </c>
      <c r="M122" s="26">
        <f t="shared" si="5"/>
        <v>0</v>
      </c>
      <c r="N122" s="51">
        <v>1</v>
      </c>
      <c r="O122" s="99">
        <v>42761</v>
      </c>
      <c r="P122" s="23"/>
      <c r="Q122" s="24"/>
      <c r="R122" s="24"/>
      <c r="S122" s="28"/>
      <c r="T122" s="24"/>
      <c r="U122" s="24"/>
      <c r="V122" s="24"/>
      <c r="W122" s="24"/>
      <c r="X122" s="28"/>
    </row>
    <row r="123" spans="1:24">
      <c r="A123" s="35">
        <v>80</v>
      </c>
      <c r="B123" s="33" t="s">
        <v>24</v>
      </c>
      <c r="C123" s="4">
        <v>1</v>
      </c>
      <c r="D123" s="33">
        <v>8</v>
      </c>
      <c r="E123" s="33" t="s">
        <v>148</v>
      </c>
      <c r="F123" s="39" t="s">
        <v>13</v>
      </c>
      <c r="G123" s="55">
        <v>42758</v>
      </c>
      <c r="H123" s="14">
        <v>42758</v>
      </c>
      <c r="I123" s="14"/>
      <c r="J123" s="94">
        <v>1</v>
      </c>
      <c r="K123" s="109">
        <v>2</v>
      </c>
      <c r="L123" s="94">
        <f t="shared" ref="L123:L135" si="8">SUM(P123:X123)</f>
        <v>24</v>
      </c>
      <c r="M123" s="15">
        <f t="shared" ref="M123:M171" si="9">L123/$L$2</f>
        <v>0.48</v>
      </c>
      <c r="N123" s="113" t="s">
        <v>35</v>
      </c>
      <c r="O123" s="95">
        <v>42768</v>
      </c>
      <c r="P123" s="3">
        <v>-4</v>
      </c>
      <c r="Q123" s="4">
        <v>2</v>
      </c>
      <c r="R123" s="4">
        <v>2</v>
      </c>
      <c r="S123" s="17">
        <v>3</v>
      </c>
      <c r="T123" s="3">
        <v>8</v>
      </c>
      <c r="U123" s="4">
        <v>0</v>
      </c>
      <c r="V123" s="4">
        <v>6</v>
      </c>
      <c r="W123" s="4">
        <v>4</v>
      </c>
      <c r="X123" s="17">
        <v>3</v>
      </c>
    </row>
    <row r="124" spans="1:24">
      <c r="A124" s="36">
        <v>81</v>
      </c>
      <c r="B124" s="30" t="s">
        <v>24</v>
      </c>
      <c r="C124" s="30">
        <v>2</v>
      </c>
      <c r="D124" s="30">
        <v>8</v>
      </c>
      <c r="E124" s="30" t="s">
        <v>79</v>
      </c>
      <c r="F124" s="40" t="s">
        <v>51</v>
      </c>
      <c r="G124" s="53">
        <v>42758</v>
      </c>
      <c r="H124" s="19">
        <v>42758</v>
      </c>
      <c r="I124" s="19" t="s">
        <v>217</v>
      </c>
      <c r="J124" s="92">
        <v>1</v>
      </c>
      <c r="K124" s="110">
        <v>0.18</v>
      </c>
      <c r="L124" s="92">
        <f t="shared" si="8"/>
        <v>7</v>
      </c>
      <c r="M124" s="20">
        <f t="shared" si="9"/>
        <v>0.14000000000000001</v>
      </c>
      <c r="N124" s="114">
        <v>1</v>
      </c>
      <c r="O124" s="37">
        <v>42768</v>
      </c>
      <c r="P124" s="5">
        <v>-25</v>
      </c>
      <c r="Q124" s="6">
        <v>2</v>
      </c>
      <c r="R124" s="6">
        <v>2</v>
      </c>
      <c r="S124" s="22">
        <v>3</v>
      </c>
      <c r="T124" s="5">
        <v>8</v>
      </c>
      <c r="U124" s="6">
        <v>8</v>
      </c>
      <c r="V124" s="6">
        <v>4</v>
      </c>
      <c r="W124" s="6">
        <v>2</v>
      </c>
      <c r="X124" s="22">
        <v>3</v>
      </c>
    </row>
    <row r="125" spans="1:24">
      <c r="A125" s="36">
        <v>81</v>
      </c>
      <c r="B125" s="30" t="s">
        <v>24</v>
      </c>
      <c r="C125" s="30">
        <v>2</v>
      </c>
      <c r="D125" s="30">
        <v>8</v>
      </c>
      <c r="E125" s="30" t="s">
        <v>79</v>
      </c>
      <c r="F125" s="40" t="s">
        <v>51</v>
      </c>
      <c r="G125" s="53">
        <v>42786</v>
      </c>
      <c r="H125" s="19">
        <v>42786</v>
      </c>
      <c r="I125" s="19"/>
      <c r="J125" s="92">
        <v>2</v>
      </c>
      <c r="K125" s="110">
        <v>1.82</v>
      </c>
      <c r="L125" s="92">
        <f>SUM(P125:X125)</f>
        <v>45</v>
      </c>
      <c r="M125" s="20">
        <f>L125/$L$2</f>
        <v>0.9</v>
      </c>
      <c r="N125" s="114">
        <v>5</v>
      </c>
      <c r="O125" s="37">
        <v>42788</v>
      </c>
      <c r="P125" s="5">
        <v>0</v>
      </c>
      <c r="Q125" s="6">
        <v>2</v>
      </c>
      <c r="R125" s="6">
        <v>2</v>
      </c>
      <c r="S125" s="22">
        <v>3</v>
      </c>
      <c r="T125" s="5">
        <v>10</v>
      </c>
      <c r="U125" s="6">
        <v>12</v>
      </c>
      <c r="V125" s="6">
        <v>7</v>
      </c>
      <c r="W125" s="6">
        <v>6</v>
      </c>
      <c r="X125" s="22">
        <v>3</v>
      </c>
    </row>
    <row r="126" spans="1:24">
      <c r="A126" s="36">
        <v>82</v>
      </c>
      <c r="B126" s="30" t="s">
        <v>24</v>
      </c>
      <c r="C126" s="6">
        <v>3</v>
      </c>
      <c r="D126" s="30">
        <v>7</v>
      </c>
      <c r="E126" s="30" t="s">
        <v>128</v>
      </c>
      <c r="F126" s="40" t="s">
        <v>149</v>
      </c>
      <c r="G126" s="53">
        <v>42758</v>
      </c>
      <c r="H126" s="19">
        <v>42758</v>
      </c>
      <c r="I126" s="19"/>
      <c r="J126" s="92">
        <v>1</v>
      </c>
      <c r="K126" s="110">
        <v>2</v>
      </c>
      <c r="L126" s="92">
        <f t="shared" si="8"/>
        <v>19</v>
      </c>
      <c r="M126" s="20">
        <f t="shared" si="9"/>
        <v>0.38</v>
      </c>
      <c r="N126" s="114">
        <v>2</v>
      </c>
      <c r="O126" s="37">
        <v>42768</v>
      </c>
      <c r="P126" s="5">
        <v>-8</v>
      </c>
      <c r="Q126" s="6">
        <v>0</v>
      </c>
      <c r="R126" s="6">
        <v>2</v>
      </c>
      <c r="S126" s="22">
        <v>2</v>
      </c>
      <c r="T126" s="5">
        <v>10</v>
      </c>
      <c r="U126" s="6">
        <v>0</v>
      </c>
      <c r="V126" s="6">
        <v>8</v>
      </c>
      <c r="W126" s="6">
        <v>2</v>
      </c>
      <c r="X126" s="22">
        <v>3</v>
      </c>
    </row>
    <row r="127" spans="1:24">
      <c r="A127" s="36">
        <v>83</v>
      </c>
      <c r="B127" s="30" t="s">
        <v>24</v>
      </c>
      <c r="C127" s="6">
        <v>4</v>
      </c>
      <c r="D127" s="30">
        <v>7</v>
      </c>
      <c r="E127" s="30" t="s">
        <v>100</v>
      </c>
      <c r="F127" s="40" t="s">
        <v>150</v>
      </c>
      <c r="G127" s="53">
        <v>42758</v>
      </c>
      <c r="H127" s="6"/>
      <c r="I127" s="6" t="s">
        <v>208</v>
      </c>
      <c r="J127" s="92">
        <v>1</v>
      </c>
      <c r="K127" s="110">
        <v>2</v>
      </c>
      <c r="L127" s="92">
        <f t="shared" si="8"/>
        <v>0</v>
      </c>
      <c r="M127" s="20">
        <f t="shared" si="9"/>
        <v>0</v>
      </c>
      <c r="N127" s="114">
        <v>1</v>
      </c>
      <c r="O127" s="37">
        <v>42761</v>
      </c>
      <c r="P127" s="5"/>
      <c r="Q127" s="6"/>
      <c r="R127" s="6"/>
      <c r="S127" s="22"/>
      <c r="T127" s="5"/>
      <c r="U127" s="6"/>
      <c r="V127" s="6"/>
      <c r="W127" s="6"/>
      <c r="X127" s="22"/>
    </row>
    <row r="128" spans="1:24">
      <c r="A128" s="36">
        <v>84</v>
      </c>
      <c r="B128" s="30" t="s">
        <v>24</v>
      </c>
      <c r="C128" s="30">
        <v>5</v>
      </c>
      <c r="D128" s="30">
        <v>7</v>
      </c>
      <c r="E128" s="30" t="s">
        <v>151</v>
      </c>
      <c r="F128" s="40" t="s">
        <v>152</v>
      </c>
      <c r="G128" s="53">
        <v>42758</v>
      </c>
      <c r="H128" s="19"/>
      <c r="I128" s="6" t="s">
        <v>208</v>
      </c>
      <c r="J128" s="92">
        <v>1</v>
      </c>
      <c r="K128" s="110">
        <v>2</v>
      </c>
      <c r="L128" s="92">
        <f t="shared" si="8"/>
        <v>0</v>
      </c>
      <c r="M128" s="20">
        <f t="shared" si="9"/>
        <v>0</v>
      </c>
      <c r="N128" s="114">
        <v>1</v>
      </c>
      <c r="O128" s="37">
        <v>42761</v>
      </c>
      <c r="P128" s="5"/>
      <c r="Q128" s="6"/>
      <c r="R128" s="6"/>
      <c r="S128" s="22"/>
      <c r="T128" s="5"/>
      <c r="U128" s="6"/>
      <c r="V128" s="6"/>
      <c r="W128" s="6"/>
      <c r="X128" s="22"/>
    </row>
    <row r="129" spans="1:26">
      <c r="A129" s="36">
        <v>85</v>
      </c>
      <c r="B129" s="30" t="s">
        <v>24</v>
      </c>
      <c r="C129" s="6">
        <v>6</v>
      </c>
      <c r="D129" s="30">
        <v>8</v>
      </c>
      <c r="E129" s="6" t="s">
        <v>176</v>
      </c>
      <c r="F129" s="22" t="s">
        <v>153</v>
      </c>
      <c r="G129" s="53">
        <v>42758</v>
      </c>
      <c r="H129" s="19">
        <v>42757</v>
      </c>
      <c r="I129" s="19" t="s">
        <v>217</v>
      </c>
      <c r="J129" s="92">
        <v>1</v>
      </c>
      <c r="K129" s="110">
        <v>0.22</v>
      </c>
      <c r="L129" s="92">
        <f t="shared" si="8"/>
        <v>3</v>
      </c>
      <c r="M129" s="20">
        <f t="shared" si="9"/>
        <v>0.06</v>
      </c>
      <c r="N129" s="114">
        <v>1</v>
      </c>
      <c r="O129" s="37">
        <v>42768</v>
      </c>
      <c r="P129" s="5">
        <v>-25</v>
      </c>
      <c r="Q129" s="6">
        <v>2</v>
      </c>
      <c r="R129" s="6">
        <v>1</v>
      </c>
      <c r="S129" s="22">
        <v>3</v>
      </c>
      <c r="T129" s="5">
        <v>11</v>
      </c>
      <c r="U129" s="6">
        <v>2</v>
      </c>
      <c r="V129" s="6">
        <v>3</v>
      </c>
      <c r="W129" s="6">
        <v>3</v>
      </c>
      <c r="X129" s="22">
        <v>3</v>
      </c>
    </row>
    <row r="130" spans="1:26">
      <c r="A130" s="36">
        <v>85</v>
      </c>
      <c r="B130" s="30" t="s">
        <v>24</v>
      </c>
      <c r="C130" s="6">
        <v>6</v>
      </c>
      <c r="D130" s="30">
        <v>8</v>
      </c>
      <c r="E130" s="6" t="s">
        <v>176</v>
      </c>
      <c r="F130" s="22" t="s">
        <v>153</v>
      </c>
      <c r="G130" s="53">
        <v>42810</v>
      </c>
      <c r="H130" s="19">
        <v>42810</v>
      </c>
      <c r="I130" s="135"/>
      <c r="J130" s="92">
        <v>2</v>
      </c>
      <c r="K130" s="110">
        <v>0.5</v>
      </c>
      <c r="L130" s="92">
        <f t="shared" si="8"/>
        <v>4</v>
      </c>
      <c r="M130" s="20">
        <f t="shared" si="9"/>
        <v>0.08</v>
      </c>
      <c r="N130" s="114">
        <v>1</v>
      </c>
      <c r="O130" s="37">
        <v>42817</v>
      </c>
      <c r="P130" s="5">
        <v>-10</v>
      </c>
      <c r="Q130" s="6">
        <v>2</v>
      </c>
      <c r="R130" s="6">
        <v>2</v>
      </c>
      <c r="S130" s="22">
        <v>-6</v>
      </c>
      <c r="T130" s="5">
        <v>10</v>
      </c>
      <c r="U130" s="6">
        <v>0</v>
      </c>
      <c r="V130" s="6">
        <v>3</v>
      </c>
      <c r="W130" s="6">
        <v>2</v>
      </c>
      <c r="X130" s="22">
        <v>1</v>
      </c>
    </row>
    <row r="131" spans="1:26">
      <c r="A131" s="36">
        <v>85</v>
      </c>
      <c r="B131" s="30" t="s">
        <v>24</v>
      </c>
      <c r="C131" s="6">
        <v>6</v>
      </c>
      <c r="D131" s="30">
        <v>8</v>
      </c>
      <c r="E131" s="6" t="s">
        <v>176</v>
      </c>
      <c r="F131" s="22" t="s">
        <v>153</v>
      </c>
      <c r="G131" s="53">
        <v>42880</v>
      </c>
      <c r="H131" s="19">
        <v>42880</v>
      </c>
      <c r="I131" s="135"/>
      <c r="J131" s="92">
        <v>3</v>
      </c>
      <c r="K131" s="110">
        <v>1.28</v>
      </c>
      <c r="L131" s="92">
        <f t="shared" si="8"/>
        <v>4</v>
      </c>
      <c r="M131" s="20">
        <f t="shared" si="9"/>
        <v>0.08</v>
      </c>
      <c r="N131" s="114">
        <v>1</v>
      </c>
      <c r="O131" s="37">
        <v>42889</v>
      </c>
      <c r="P131" s="5">
        <v>-10</v>
      </c>
      <c r="Q131" s="6">
        <v>2</v>
      </c>
      <c r="R131" s="6">
        <v>2</v>
      </c>
      <c r="S131" s="22">
        <v>-6</v>
      </c>
      <c r="T131" s="5">
        <v>10</v>
      </c>
      <c r="U131" s="6">
        <v>0</v>
      </c>
      <c r="V131" s="6">
        <v>3</v>
      </c>
      <c r="W131" s="6">
        <v>2</v>
      </c>
      <c r="X131" s="22">
        <v>1</v>
      </c>
    </row>
    <row r="132" spans="1:26">
      <c r="A132" s="36">
        <v>86</v>
      </c>
      <c r="B132" s="30" t="s">
        <v>24</v>
      </c>
      <c r="C132" s="6">
        <v>7</v>
      </c>
      <c r="D132" s="30">
        <v>7</v>
      </c>
      <c r="E132" s="30" t="s">
        <v>154</v>
      </c>
      <c r="F132" s="40" t="s">
        <v>155</v>
      </c>
      <c r="G132" s="53">
        <v>42758</v>
      </c>
      <c r="H132" s="19"/>
      <c r="I132" s="6" t="s">
        <v>208</v>
      </c>
      <c r="J132" s="92">
        <v>1</v>
      </c>
      <c r="K132" s="110">
        <v>0.2</v>
      </c>
      <c r="L132" s="92">
        <f t="shared" si="8"/>
        <v>0</v>
      </c>
      <c r="M132" s="20">
        <f t="shared" si="9"/>
        <v>0</v>
      </c>
      <c r="N132" s="114">
        <v>1</v>
      </c>
      <c r="O132" s="37">
        <v>42761</v>
      </c>
      <c r="P132" s="5"/>
      <c r="Q132" s="6"/>
      <c r="R132" s="6"/>
      <c r="S132" s="22"/>
      <c r="T132" s="5"/>
      <c r="U132" s="6"/>
      <c r="V132" s="6"/>
      <c r="W132" s="6"/>
      <c r="X132" s="22"/>
    </row>
    <row r="133" spans="1:26">
      <c r="A133" s="36">
        <v>86</v>
      </c>
      <c r="B133" s="30" t="s">
        <v>24</v>
      </c>
      <c r="C133" s="6">
        <v>7</v>
      </c>
      <c r="D133" s="30">
        <v>7</v>
      </c>
      <c r="E133" s="30" t="s">
        <v>154</v>
      </c>
      <c r="F133" s="40" t="s">
        <v>155</v>
      </c>
      <c r="G133" s="53">
        <v>42778</v>
      </c>
      <c r="H133" s="19">
        <v>42778</v>
      </c>
      <c r="I133" s="6"/>
      <c r="J133" s="92">
        <v>1</v>
      </c>
      <c r="K133" s="110">
        <v>1.8</v>
      </c>
      <c r="L133" s="92">
        <f t="shared" si="8"/>
        <v>28</v>
      </c>
      <c r="M133" s="20">
        <f t="shared" si="9"/>
        <v>0.56000000000000005</v>
      </c>
      <c r="N133" s="114">
        <v>3</v>
      </c>
      <c r="O133" s="37">
        <v>42779</v>
      </c>
      <c r="P133" s="5">
        <v>-2</v>
      </c>
      <c r="Q133" s="6">
        <v>-2</v>
      </c>
      <c r="R133" s="6">
        <v>2</v>
      </c>
      <c r="S133" s="22">
        <v>1</v>
      </c>
      <c r="T133" s="5">
        <v>9</v>
      </c>
      <c r="U133" s="6">
        <v>7</v>
      </c>
      <c r="V133" s="6">
        <v>8</v>
      </c>
      <c r="W133" s="6">
        <v>2</v>
      </c>
      <c r="X133" s="22">
        <v>3</v>
      </c>
    </row>
    <row r="134" spans="1:26">
      <c r="A134" s="36">
        <v>87</v>
      </c>
      <c r="B134" s="30" t="s">
        <v>24</v>
      </c>
      <c r="C134" s="30">
        <v>8</v>
      </c>
      <c r="D134" s="30">
        <v>8</v>
      </c>
      <c r="E134" s="30" t="s">
        <v>65</v>
      </c>
      <c r="F134" s="40" t="s">
        <v>39</v>
      </c>
      <c r="G134" s="53">
        <v>42758</v>
      </c>
      <c r="H134" s="19">
        <v>42758</v>
      </c>
      <c r="I134" s="19" t="s">
        <v>217</v>
      </c>
      <c r="J134" s="92">
        <v>1</v>
      </c>
      <c r="K134" s="110">
        <v>2</v>
      </c>
      <c r="L134" s="92">
        <f t="shared" si="8"/>
        <v>1</v>
      </c>
      <c r="M134" s="20">
        <f t="shared" si="9"/>
        <v>0.02</v>
      </c>
      <c r="N134" s="114">
        <v>1</v>
      </c>
      <c r="O134" s="37">
        <v>42769</v>
      </c>
      <c r="P134" s="5">
        <v>-6</v>
      </c>
      <c r="Q134" s="6">
        <v>2</v>
      </c>
      <c r="R134" s="6">
        <v>2</v>
      </c>
      <c r="S134" s="22">
        <v>3</v>
      </c>
      <c r="T134" s="5">
        <v>0</v>
      </c>
      <c r="U134" s="6">
        <v>0</v>
      </c>
      <c r="V134" s="6">
        <v>0</v>
      </c>
      <c r="W134" s="6">
        <v>0</v>
      </c>
      <c r="X134" s="22">
        <v>0</v>
      </c>
    </row>
    <row r="135" spans="1:26">
      <c r="A135" s="36">
        <v>88</v>
      </c>
      <c r="B135" s="30" t="s">
        <v>24</v>
      </c>
      <c r="C135" s="6">
        <v>9</v>
      </c>
      <c r="D135" s="30">
        <v>8</v>
      </c>
      <c r="E135" s="30" t="s">
        <v>0</v>
      </c>
      <c r="F135" s="40" t="s">
        <v>119</v>
      </c>
      <c r="G135" s="53">
        <v>42758</v>
      </c>
      <c r="H135" s="19">
        <v>42758</v>
      </c>
      <c r="I135" s="19" t="s">
        <v>217</v>
      </c>
      <c r="J135" s="92">
        <v>1</v>
      </c>
      <c r="K135" s="110">
        <v>0.15</v>
      </c>
      <c r="L135" s="92">
        <f t="shared" si="8"/>
        <v>7</v>
      </c>
      <c r="M135" s="20">
        <f t="shared" si="9"/>
        <v>0.14000000000000001</v>
      </c>
      <c r="N135" s="114">
        <v>1</v>
      </c>
      <c r="O135" s="37">
        <v>42769</v>
      </c>
      <c r="P135" s="5">
        <v>-20</v>
      </c>
      <c r="Q135" s="6">
        <v>2</v>
      </c>
      <c r="R135" s="6">
        <v>2</v>
      </c>
      <c r="S135" s="22">
        <v>3</v>
      </c>
      <c r="T135" s="5">
        <v>6</v>
      </c>
      <c r="U135" s="6">
        <v>0</v>
      </c>
      <c r="V135" s="6">
        <v>7</v>
      </c>
      <c r="W135" s="6">
        <v>4</v>
      </c>
      <c r="X135" s="22">
        <v>3</v>
      </c>
    </row>
    <row r="136" spans="1:26">
      <c r="A136" s="36">
        <v>88</v>
      </c>
      <c r="B136" s="30" t="s">
        <v>24</v>
      </c>
      <c r="C136" s="6">
        <v>9</v>
      </c>
      <c r="D136" s="30">
        <v>8</v>
      </c>
      <c r="E136" s="30" t="s">
        <v>0</v>
      </c>
      <c r="F136" s="40" t="s">
        <v>119</v>
      </c>
      <c r="G136" s="53">
        <v>42786</v>
      </c>
      <c r="H136" s="19">
        <v>42786</v>
      </c>
      <c r="I136" s="19"/>
      <c r="J136" s="92">
        <v>2</v>
      </c>
      <c r="K136" s="110">
        <v>0.5</v>
      </c>
      <c r="L136" s="92">
        <f>SUM(P136:X136)</f>
        <v>18</v>
      </c>
      <c r="M136" s="20">
        <f>L136/$L$2</f>
        <v>0.36</v>
      </c>
      <c r="N136" s="114">
        <v>2</v>
      </c>
      <c r="O136" s="37">
        <v>42788</v>
      </c>
      <c r="P136" s="5">
        <v>-12</v>
      </c>
      <c r="Q136" s="6">
        <v>2</v>
      </c>
      <c r="R136" s="6">
        <v>2</v>
      </c>
      <c r="S136" s="22">
        <v>3</v>
      </c>
      <c r="T136" s="5">
        <v>6</v>
      </c>
      <c r="U136" s="6">
        <v>2</v>
      </c>
      <c r="V136" s="6">
        <v>7</v>
      </c>
      <c r="W136" s="6">
        <v>5</v>
      </c>
      <c r="X136" s="22">
        <v>3</v>
      </c>
    </row>
    <row r="137" spans="1:26">
      <c r="A137" s="36">
        <v>88</v>
      </c>
      <c r="B137" s="30" t="s">
        <v>24</v>
      </c>
      <c r="C137" s="6">
        <v>9</v>
      </c>
      <c r="D137" s="30">
        <v>8</v>
      </c>
      <c r="E137" s="30" t="s">
        <v>0</v>
      </c>
      <c r="F137" s="40" t="s">
        <v>119</v>
      </c>
      <c r="G137" s="53">
        <v>42893</v>
      </c>
      <c r="H137" s="19">
        <v>42893</v>
      </c>
      <c r="I137" s="19"/>
      <c r="J137" s="92">
        <v>3</v>
      </c>
      <c r="K137" s="110">
        <v>1.35</v>
      </c>
      <c r="L137" s="92">
        <v>37</v>
      </c>
      <c r="M137" s="20">
        <f>L137/$L$2</f>
        <v>0.74</v>
      </c>
      <c r="N137" s="114">
        <v>3</v>
      </c>
      <c r="O137" s="37">
        <v>42898</v>
      </c>
      <c r="P137" s="5"/>
      <c r="Q137" s="6"/>
      <c r="R137" s="6"/>
      <c r="S137" s="22"/>
      <c r="T137" s="5"/>
      <c r="U137" s="6"/>
      <c r="V137" s="6"/>
      <c r="W137" s="6"/>
      <c r="X137" s="22"/>
      <c r="Z137" s="203"/>
    </row>
    <row r="138" spans="1:26">
      <c r="A138" s="36">
        <v>89</v>
      </c>
      <c r="B138" s="30" t="s">
        <v>24</v>
      </c>
      <c r="C138" s="6">
        <v>10</v>
      </c>
      <c r="D138" s="30">
        <v>7</v>
      </c>
      <c r="E138" s="30" t="s">
        <v>82</v>
      </c>
      <c r="F138" s="40" t="s">
        <v>156</v>
      </c>
      <c r="G138" s="53">
        <v>42758</v>
      </c>
      <c r="H138" s="19">
        <v>42758</v>
      </c>
      <c r="I138" s="19" t="s">
        <v>218</v>
      </c>
      <c r="J138" s="92">
        <v>1</v>
      </c>
      <c r="K138" s="110">
        <v>2</v>
      </c>
      <c r="L138" s="92">
        <v>4</v>
      </c>
      <c r="M138" s="20">
        <f t="shared" si="9"/>
        <v>0.08</v>
      </c>
      <c r="N138" s="114">
        <v>1</v>
      </c>
      <c r="O138" s="37">
        <v>42769</v>
      </c>
      <c r="P138" s="5">
        <v>-5</v>
      </c>
      <c r="Q138" s="6">
        <v>2</v>
      </c>
      <c r="R138" s="6">
        <v>2</v>
      </c>
      <c r="S138" s="22">
        <v>0</v>
      </c>
      <c r="T138" s="5">
        <v>10</v>
      </c>
      <c r="U138" s="6">
        <v>5</v>
      </c>
      <c r="V138" s="6">
        <v>8</v>
      </c>
      <c r="W138" s="6">
        <v>7</v>
      </c>
      <c r="X138" s="22">
        <v>3</v>
      </c>
    </row>
    <row r="139" spans="1:26">
      <c r="A139" s="36">
        <v>90</v>
      </c>
      <c r="B139" s="30" t="s">
        <v>24</v>
      </c>
      <c r="C139" s="30">
        <v>11</v>
      </c>
      <c r="D139" s="30">
        <v>8</v>
      </c>
      <c r="E139" s="30" t="s">
        <v>81</v>
      </c>
      <c r="F139" s="40" t="s">
        <v>157</v>
      </c>
      <c r="G139" s="53">
        <v>42758</v>
      </c>
      <c r="H139" s="19">
        <v>42757</v>
      </c>
      <c r="I139" s="19"/>
      <c r="J139" s="92">
        <v>1</v>
      </c>
      <c r="K139" s="110">
        <v>0.75</v>
      </c>
      <c r="L139" s="92">
        <f t="shared" ref="L139:L154" si="10">SUM(P139:X139)</f>
        <v>30</v>
      </c>
      <c r="M139" s="20">
        <f t="shared" si="9"/>
        <v>0.6</v>
      </c>
      <c r="N139" s="114">
        <v>3</v>
      </c>
      <c r="O139" s="37">
        <v>42769</v>
      </c>
      <c r="P139" s="5">
        <v>-2</v>
      </c>
      <c r="Q139" s="6">
        <v>2</v>
      </c>
      <c r="R139" s="6">
        <v>2</v>
      </c>
      <c r="S139" s="22">
        <v>3</v>
      </c>
      <c r="T139" s="5">
        <v>5</v>
      </c>
      <c r="U139" s="6">
        <v>6</v>
      </c>
      <c r="V139" s="6">
        <v>8</v>
      </c>
      <c r="W139" s="6">
        <v>3</v>
      </c>
      <c r="X139" s="22">
        <v>3</v>
      </c>
    </row>
    <row r="140" spans="1:26">
      <c r="A140" s="36">
        <v>90</v>
      </c>
      <c r="B140" s="30" t="s">
        <v>24</v>
      </c>
      <c r="C140" s="30">
        <v>11</v>
      </c>
      <c r="D140" s="30">
        <v>8</v>
      </c>
      <c r="E140" s="30" t="s">
        <v>81</v>
      </c>
      <c r="F140" s="40" t="s">
        <v>157</v>
      </c>
      <c r="G140" s="53">
        <v>42895</v>
      </c>
      <c r="H140" s="19">
        <v>42895</v>
      </c>
      <c r="I140" s="19"/>
      <c r="J140" s="92">
        <v>2</v>
      </c>
      <c r="K140" s="110">
        <v>1.25</v>
      </c>
      <c r="L140" s="92">
        <v>40</v>
      </c>
      <c r="M140" s="20">
        <f t="shared" si="9"/>
        <v>0.8</v>
      </c>
      <c r="N140" s="114" t="s">
        <v>34</v>
      </c>
      <c r="O140" s="37">
        <v>42898</v>
      </c>
      <c r="P140" s="5"/>
      <c r="Q140" s="6"/>
      <c r="R140" s="6"/>
      <c r="S140" s="22"/>
      <c r="T140" s="5"/>
      <c r="U140" s="6"/>
      <c r="V140" s="6"/>
      <c r="W140" s="6"/>
      <c r="X140" s="22"/>
    </row>
    <row r="141" spans="1:26">
      <c r="A141" s="36">
        <v>91</v>
      </c>
      <c r="B141" s="30" t="s">
        <v>24</v>
      </c>
      <c r="C141" s="6">
        <v>12</v>
      </c>
      <c r="D141" s="30">
        <v>7</v>
      </c>
      <c r="E141" s="30" t="s">
        <v>14</v>
      </c>
      <c r="F141" s="40" t="s">
        <v>158</v>
      </c>
      <c r="G141" s="53">
        <v>42758</v>
      </c>
      <c r="H141" s="6"/>
      <c r="I141" s="6" t="s">
        <v>211</v>
      </c>
      <c r="J141" s="92">
        <v>1</v>
      </c>
      <c r="K141" s="110">
        <v>0</v>
      </c>
      <c r="L141" s="92">
        <f t="shared" si="10"/>
        <v>0</v>
      </c>
      <c r="M141" s="20">
        <f t="shared" si="9"/>
        <v>0</v>
      </c>
      <c r="N141" s="114"/>
      <c r="O141" s="37"/>
      <c r="P141" s="5"/>
      <c r="Q141" s="6"/>
      <c r="R141" s="6"/>
      <c r="S141" s="22"/>
      <c r="T141" s="5"/>
      <c r="U141" s="6"/>
      <c r="V141" s="6"/>
      <c r="W141" s="30"/>
      <c r="X141" s="40"/>
    </row>
    <row r="142" spans="1:26">
      <c r="A142" s="36">
        <v>91</v>
      </c>
      <c r="B142" s="30" t="s">
        <v>24</v>
      </c>
      <c r="C142" s="6">
        <v>12</v>
      </c>
      <c r="D142" s="30">
        <v>7</v>
      </c>
      <c r="E142" s="30" t="s">
        <v>14</v>
      </c>
      <c r="F142" s="40" t="s">
        <v>158</v>
      </c>
      <c r="G142" s="53">
        <v>42763</v>
      </c>
      <c r="H142" s="19">
        <v>42763</v>
      </c>
      <c r="I142" s="6"/>
      <c r="J142" s="92">
        <v>2</v>
      </c>
      <c r="K142" s="110">
        <v>0.19</v>
      </c>
      <c r="L142" s="92">
        <f t="shared" si="10"/>
        <v>21</v>
      </c>
      <c r="M142" s="20">
        <f t="shared" si="9"/>
        <v>0.42</v>
      </c>
      <c r="N142" s="114">
        <v>2</v>
      </c>
      <c r="O142" s="37">
        <v>42772</v>
      </c>
      <c r="P142" s="5">
        <v>-6</v>
      </c>
      <c r="Q142" s="6">
        <v>0</v>
      </c>
      <c r="R142" s="6">
        <v>2</v>
      </c>
      <c r="S142" s="22">
        <v>2</v>
      </c>
      <c r="T142" s="116">
        <v>8</v>
      </c>
      <c r="U142" s="97">
        <v>1</v>
      </c>
      <c r="V142" s="97">
        <v>8</v>
      </c>
      <c r="W142" s="97">
        <v>3</v>
      </c>
      <c r="X142" s="117">
        <v>3</v>
      </c>
    </row>
    <row r="143" spans="1:26">
      <c r="A143" s="36">
        <v>91</v>
      </c>
      <c r="B143" s="30" t="s">
        <v>24</v>
      </c>
      <c r="C143" s="6">
        <v>12</v>
      </c>
      <c r="D143" s="30">
        <v>7</v>
      </c>
      <c r="E143" s="30" t="s">
        <v>14</v>
      </c>
      <c r="F143" s="40" t="s">
        <v>158</v>
      </c>
      <c r="G143" s="53">
        <v>42782</v>
      </c>
      <c r="H143" s="19">
        <v>42782</v>
      </c>
      <c r="I143" s="6"/>
      <c r="J143" s="92">
        <v>3</v>
      </c>
      <c r="K143" s="110">
        <v>1.81</v>
      </c>
      <c r="L143" s="92">
        <f>SUM(P143:X143)</f>
        <v>43</v>
      </c>
      <c r="M143" s="20">
        <f>L143/$L$2</f>
        <v>0.86</v>
      </c>
      <c r="N143" s="114" t="s">
        <v>33</v>
      </c>
      <c r="O143" s="37">
        <v>42787</v>
      </c>
      <c r="P143" s="5">
        <v>-1</v>
      </c>
      <c r="Q143" s="6">
        <v>2</v>
      </c>
      <c r="R143" s="6">
        <v>2</v>
      </c>
      <c r="S143" s="22">
        <v>2</v>
      </c>
      <c r="T143" s="116">
        <v>10</v>
      </c>
      <c r="U143" s="97">
        <v>12</v>
      </c>
      <c r="V143" s="97">
        <v>8</v>
      </c>
      <c r="W143" s="97">
        <v>5</v>
      </c>
      <c r="X143" s="117">
        <v>3</v>
      </c>
    </row>
    <row r="144" spans="1:26">
      <c r="A144" s="36">
        <v>92</v>
      </c>
      <c r="B144" s="30" t="s">
        <v>24</v>
      </c>
      <c r="C144" s="30">
        <v>13</v>
      </c>
      <c r="D144" s="30">
        <v>8</v>
      </c>
      <c r="E144" s="30" t="s">
        <v>15</v>
      </c>
      <c r="F144" s="40" t="s">
        <v>160</v>
      </c>
      <c r="G144" s="107">
        <v>42758</v>
      </c>
      <c r="H144" s="19">
        <v>42758</v>
      </c>
      <c r="I144" s="19"/>
      <c r="J144" s="92">
        <v>1</v>
      </c>
      <c r="K144" s="110">
        <v>2</v>
      </c>
      <c r="L144" s="92">
        <f t="shared" si="10"/>
        <v>32</v>
      </c>
      <c r="M144" s="20">
        <f t="shared" si="9"/>
        <v>0.64</v>
      </c>
      <c r="N144" s="114" t="s">
        <v>32</v>
      </c>
      <c r="O144" s="37">
        <v>42769</v>
      </c>
      <c r="P144" s="5">
        <v>-4</v>
      </c>
      <c r="Q144" s="6">
        <v>1</v>
      </c>
      <c r="R144" s="6">
        <v>2</v>
      </c>
      <c r="S144" s="22">
        <v>3</v>
      </c>
      <c r="T144" s="5">
        <v>9</v>
      </c>
      <c r="U144" s="6">
        <v>7</v>
      </c>
      <c r="V144" s="6">
        <v>8</v>
      </c>
      <c r="W144" s="6">
        <v>3</v>
      </c>
      <c r="X144" s="22">
        <v>3</v>
      </c>
    </row>
    <row r="145" spans="1:24">
      <c r="A145" s="36">
        <v>93</v>
      </c>
      <c r="B145" s="30" t="s">
        <v>24</v>
      </c>
      <c r="C145" s="6">
        <v>14</v>
      </c>
      <c r="D145" s="30">
        <v>7</v>
      </c>
      <c r="E145" s="30" t="s">
        <v>14</v>
      </c>
      <c r="F145" s="40" t="s">
        <v>161</v>
      </c>
      <c r="G145" s="53">
        <v>42758</v>
      </c>
      <c r="H145" s="19">
        <v>42758</v>
      </c>
      <c r="I145" s="19"/>
      <c r="J145" s="92">
        <v>1</v>
      </c>
      <c r="K145" s="110">
        <v>2</v>
      </c>
      <c r="L145" s="92">
        <f t="shared" si="10"/>
        <v>33</v>
      </c>
      <c r="M145" s="20">
        <f t="shared" si="9"/>
        <v>0.66</v>
      </c>
      <c r="N145" s="114" t="s">
        <v>32</v>
      </c>
      <c r="O145" s="37">
        <v>42790</v>
      </c>
      <c r="P145" s="5">
        <v>-4</v>
      </c>
      <c r="Q145" s="6">
        <v>2</v>
      </c>
      <c r="R145" s="6">
        <v>2</v>
      </c>
      <c r="S145" s="22">
        <v>1</v>
      </c>
      <c r="T145" s="5">
        <v>10</v>
      </c>
      <c r="U145" s="6">
        <v>8</v>
      </c>
      <c r="V145" s="6">
        <v>6</v>
      </c>
      <c r="W145" s="6">
        <v>5</v>
      </c>
      <c r="X145" s="22">
        <v>3</v>
      </c>
    </row>
    <row r="146" spans="1:24">
      <c r="A146" s="36">
        <v>94</v>
      </c>
      <c r="B146" s="30" t="s">
        <v>24</v>
      </c>
      <c r="C146" s="6">
        <v>15</v>
      </c>
      <c r="D146" s="30">
        <v>7</v>
      </c>
      <c r="E146" s="30" t="s">
        <v>9</v>
      </c>
      <c r="F146" s="40" t="s">
        <v>122</v>
      </c>
      <c r="G146" s="53">
        <v>42758</v>
      </c>
      <c r="H146" s="6"/>
      <c r="I146" s="6" t="s">
        <v>212</v>
      </c>
      <c r="J146" s="92">
        <v>1</v>
      </c>
      <c r="K146" s="110">
        <v>2</v>
      </c>
      <c r="L146" s="92">
        <f t="shared" si="10"/>
        <v>0</v>
      </c>
      <c r="M146" s="20">
        <f t="shared" si="9"/>
        <v>0</v>
      </c>
      <c r="N146" s="114"/>
      <c r="O146" s="37"/>
      <c r="P146" s="5"/>
      <c r="Q146" s="6"/>
      <c r="R146" s="6"/>
      <c r="S146" s="22"/>
      <c r="T146" s="5"/>
      <c r="U146" s="6"/>
      <c r="V146" s="6"/>
      <c r="W146" s="6"/>
      <c r="X146" s="22"/>
    </row>
    <row r="147" spans="1:24">
      <c r="A147" s="36">
        <v>95</v>
      </c>
      <c r="B147" s="30" t="s">
        <v>24</v>
      </c>
      <c r="C147" s="30">
        <v>16</v>
      </c>
      <c r="D147" s="30">
        <v>8</v>
      </c>
      <c r="E147" s="30" t="s">
        <v>18</v>
      </c>
      <c r="F147" s="40" t="s">
        <v>164</v>
      </c>
      <c r="G147" s="53">
        <v>42758</v>
      </c>
      <c r="H147" s="19">
        <v>42757</v>
      </c>
      <c r="I147" s="19"/>
      <c r="J147" s="92">
        <v>1</v>
      </c>
      <c r="K147" s="110">
        <v>2</v>
      </c>
      <c r="L147" s="92">
        <f t="shared" si="10"/>
        <v>25</v>
      </c>
      <c r="M147" s="20">
        <f t="shared" si="9"/>
        <v>0.5</v>
      </c>
      <c r="N147" s="114" t="s">
        <v>31</v>
      </c>
      <c r="O147" s="37">
        <v>42769</v>
      </c>
      <c r="P147" s="5">
        <v>-14</v>
      </c>
      <c r="Q147" s="6">
        <v>2</v>
      </c>
      <c r="R147" s="6">
        <v>2</v>
      </c>
      <c r="S147" s="22">
        <v>0</v>
      </c>
      <c r="T147" s="5">
        <v>9</v>
      </c>
      <c r="U147" s="6">
        <v>10</v>
      </c>
      <c r="V147" s="6">
        <v>8</v>
      </c>
      <c r="W147" s="6">
        <v>5</v>
      </c>
      <c r="X147" s="22">
        <v>3</v>
      </c>
    </row>
    <row r="148" spans="1:24">
      <c r="A148" s="36">
        <v>96</v>
      </c>
      <c r="B148" s="30" t="s">
        <v>24</v>
      </c>
      <c r="C148" s="6">
        <v>17</v>
      </c>
      <c r="D148" s="30">
        <v>8</v>
      </c>
      <c r="E148" s="30" t="s">
        <v>80</v>
      </c>
      <c r="F148" s="40" t="s">
        <v>165</v>
      </c>
      <c r="G148" s="107">
        <v>42758</v>
      </c>
      <c r="H148" s="19">
        <v>42758</v>
      </c>
      <c r="I148" s="19" t="s">
        <v>217</v>
      </c>
      <c r="J148" s="92">
        <v>1</v>
      </c>
      <c r="K148" s="110">
        <v>2</v>
      </c>
      <c r="L148" s="92">
        <f t="shared" si="10"/>
        <v>17</v>
      </c>
      <c r="M148" s="20">
        <f t="shared" si="9"/>
        <v>0.34</v>
      </c>
      <c r="N148" s="114">
        <v>2</v>
      </c>
      <c r="O148" s="37">
        <v>42769</v>
      </c>
      <c r="P148" s="5">
        <v>-25</v>
      </c>
      <c r="Q148" s="6">
        <v>2</v>
      </c>
      <c r="R148" s="6">
        <v>2</v>
      </c>
      <c r="S148" s="22">
        <v>3</v>
      </c>
      <c r="T148" s="5">
        <v>9</v>
      </c>
      <c r="U148" s="6">
        <v>11</v>
      </c>
      <c r="V148" s="6">
        <v>6</v>
      </c>
      <c r="W148" s="6">
        <v>6</v>
      </c>
      <c r="X148" s="22">
        <v>3</v>
      </c>
    </row>
    <row r="149" spans="1:24">
      <c r="A149" s="36">
        <v>97</v>
      </c>
      <c r="B149" s="30" t="s">
        <v>24</v>
      </c>
      <c r="C149" s="30">
        <v>18</v>
      </c>
      <c r="D149" s="30">
        <v>7</v>
      </c>
      <c r="E149" s="30" t="s">
        <v>65</v>
      </c>
      <c r="F149" s="40" t="s">
        <v>61</v>
      </c>
      <c r="G149" s="53">
        <v>42758</v>
      </c>
      <c r="H149" s="19">
        <v>42757</v>
      </c>
      <c r="I149" s="19"/>
      <c r="J149" s="92">
        <v>1</v>
      </c>
      <c r="K149" s="110">
        <v>2</v>
      </c>
      <c r="L149" s="92">
        <f t="shared" si="10"/>
        <v>25</v>
      </c>
      <c r="M149" s="20">
        <f t="shared" si="9"/>
        <v>0.5</v>
      </c>
      <c r="N149" s="114" t="s">
        <v>31</v>
      </c>
      <c r="O149" s="37">
        <v>42769</v>
      </c>
      <c r="P149" s="5">
        <v>-8</v>
      </c>
      <c r="Q149" s="6">
        <v>2</v>
      </c>
      <c r="R149" s="6">
        <v>1</v>
      </c>
      <c r="S149" s="22">
        <v>1</v>
      </c>
      <c r="T149" s="5">
        <v>10</v>
      </c>
      <c r="U149" s="6">
        <v>3</v>
      </c>
      <c r="V149" s="6">
        <v>8</v>
      </c>
      <c r="W149" s="6">
        <v>5</v>
      </c>
      <c r="X149" s="22">
        <v>3</v>
      </c>
    </row>
    <row r="150" spans="1:24">
      <c r="A150" s="36">
        <v>98</v>
      </c>
      <c r="B150" s="30" t="s">
        <v>24</v>
      </c>
      <c r="C150" s="6">
        <v>19</v>
      </c>
      <c r="D150" s="30">
        <v>7</v>
      </c>
      <c r="E150" s="30" t="s">
        <v>193</v>
      </c>
      <c r="F150" s="40" t="s">
        <v>166</v>
      </c>
      <c r="G150" s="53">
        <v>42758</v>
      </c>
      <c r="H150" s="19"/>
      <c r="I150" s="19" t="s">
        <v>208</v>
      </c>
      <c r="J150" s="92">
        <v>1</v>
      </c>
      <c r="K150" s="110">
        <v>2</v>
      </c>
      <c r="L150" s="92">
        <f t="shared" si="10"/>
        <v>0</v>
      </c>
      <c r="M150" s="20">
        <f t="shared" si="9"/>
        <v>0</v>
      </c>
      <c r="N150" s="114">
        <v>1</v>
      </c>
      <c r="O150" s="37">
        <v>42761</v>
      </c>
      <c r="P150" s="5"/>
      <c r="Q150" s="6"/>
      <c r="R150" s="6"/>
      <c r="S150" s="22"/>
      <c r="T150" s="5"/>
      <c r="U150" s="6"/>
      <c r="V150" s="6"/>
      <c r="W150" s="6"/>
      <c r="X150" s="22"/>
    </row>
    <row r="151" spans="1:24">
      <c r="A151" s="36">
        <v>98</v>
      </c>
      <c r="B151" s="30" t="s">
        <v>24</v>
      </c>
      <c r="C151" s="6">
        <v>19</v>
      </c>
      <c r="D151" s="30">
        <v>7</v>
      </c>
      <c r="E151" s="30" t="s">
        <v>193</v>
      </c>
      <c r="F151" s="40" t="s">
        <v>166</v>
      </c>
      <c r="G151" s="53">
        <v>42784</v>
      </c>
      <c r="H151" s="19">
        <v>42784</v>
      </c>
      <c r="I151" s="19" t="s">
        <v>282</v>
      </c>
      <c r="J151" s="92">
        <v>1</v>
      </c>
      <c r="K151" s="110">
        <v>2</v>
      </c>
      <c r="L151" s="92">
        <v>7</v>
      </c>
      <c r="M151" s="20">
        <f>L151/$L$2</f>
        <v>0.14000000000000001</v>
      </c>
      <c r="N151" s="114">
        <v>1</v>
      </c>
      <c r="O151" s="37">
        <v>42790</v>
      </c>
      <c r="P151" s="5">
        <v>-3</v>
      </c>
      <c r="Q151" s="6">
        <v>2</v>
      </c>
      <c r="R151" s="6">
        <v>-1</v>
      </c>
      <c r="S151" s="22">
        <v>2</v>
      </c>
      <c r="T151" s="5">
        <v>10</v>
      </c>
      <c r="U151" s="6">
        <v>10</v>
      </c>
      <c r="V151" s="6">
        <v>8</v>
      </c>
      <c r="W151" s="6">
        <v>4</v>
      </c>
      <c r="X151" s="22">
        <v>3</v>
      </c>
    </row>
    <row r="152" spans="1:24">
      <c r="A152" s="36">
        <v>99</v>
      </c>
      <c r="B152" s="30" t="s">
        <v>24</v>
      </c>
      <c r="C152" s="30">
        <v>20</v>
      </c>
      <c r="D152" s="30">
        <v>8</v>
      </c>
      <c r="E152" s="30" t="s">
        <v>11</v>
      </c>
      <c r="F152" s="40" t="s">
        <v>56</v>
      </c>
      <c r="G152" s="53">
        <v>42758</v>
      </c>
      <c r="H152" s="19">
        <v>42758</v>
      </c>
      <c r="I152" s="19" t="s">
        <v>217</v>
      </c>
      <c r="J152" s="92">
        <v>1</v>
      </c>
      <c r="K152" s="110">
        <v>0.15</v>
      </c>
      <c r="L152" s="92">
        <f t="shared" si="10"/>
        <v>1</v>
      </c>
      <c r="M152" s="20">
        <f t="shared" si="9"/>
        <v>0.02</v>
      </c>
      <c r="N152" s="114">
        <v>1</v>
      </c>
      <c r="O152" s="37">
        <v>42769</v>
      </c>
      <c r="P152" s="5">
        <v>-14</v>
      </c>
      <c r="Q152" s="6">
        <v>2</v>
      </c>
      <c r="R152" s="6">
        <v>2</v>
      </c>
      <c r="S152" s="22">
        <v>3</v>
      </c>
      <c r="T152" s="5">
        <v>4</v>
      </c>
      <c r="U152" s="6">
        <v>4</v>
      </c>
      <c r="V152" s="6">
        <v>0</v>
      </c>
      <c r="W152" s="6">
        <v>0</v>
      </c>
      <c r="X152" s="22">
        <v>0</v>
      </c>
    </row>
    <row r="153" spans="1:24">
      <c r="A153" s="36">
        <v>99</v>
      </c>
      <c r="B153" s="30" t="s">
        <v>24</v>
      </c>
      <c r="C153" s="30">
        <v>20</v>
      </c>
      <c r="D153" s="30">
        <v>8</v>
      </c>
      <c r="E153" s="30" t="s">
        <v>11</v>
      </c>
      <c r="F153" s="40" t="s">
        <v>56</v>
      </c>
      <c r="G153" s="53">
        <v>42786</v>
      </c>
      <c r="H153" s="19">
        <v>42786</v>
      </c>
      <c r="I153" s="19"/>
      <c r="J153" s="92">
        <v>2</v>
      </c>
      <c r="K153" s="110">
        <v>1.85</v>
      </c>
      <c r="L153" s="92">
        <f>SUM(P153:X153)</f>
        <v>33</v>
      </c>
      <c r="M153" s="20">
        <f>L153/$L$2</f>
        <v>0.66</v>
      </c>
      <c r="N153" s="114" t="s">
        <v>32</v>
      </c>
      <c r="O153" s="37">
        <v>42789</v>
      </c>
      <c r="P153" s="5">
        <v>-3</v>
      </c>
      <c r="Q153" s="6">
        <v>2</v>
      </c>
      <c r="R153" s="6">
        <v>1</v>
      </c>
      <c r="S153" s="22">
        <v>3</v>
      </c>
      <c r="T153" s="5">
        <v>10</v>
      </c>
      <c r="U153" s="6">
        <v>8</v>
      </c>
      <c r="V153" s="6">
        <v>8</v>
      </c>
      <c r="W153" s="6">
        <v>2</v>
      </c>
      <c r="X153" s="22">
        <v>2</v>
      </c>
    </row>
    <row r="154" spans="1:24">
      <c r="A154" s="36">
        <v>100</v>
      </c>
      <c r="B154" s="30" t="s">
        <v>24</v>
      </c>
      <c r="C154" s="6">
        <v>21</v>
      </c>
      <c r="D154" s="30">
        <v>8</v>
      </c>
      <c r="E154" s="30" t="s">
        <v>19</v>
      </c>
      <c r="F154" s="40" t="s">
        <v>167</v>
      </c>
      <c r="G154" s="53">
        <v>42758</v>
      </c>
      <c r="H154" s="6"/>
      <c r="I154" s="19" t="s">
        <v>208</v>
      </c>
      <c r="J154" s="92">
        <v>1</v>
      </c>
      <c r="K154" s="110">
        <v>0.16</v>
      </c>
      <c r="L154" s="92">
        <f t="shared" si="10"/>
        <v>0</v>
      </c>
      <c r="M154" s="20">
        <f t="shared" si="9"/>
        <v>0</v>
      </c>
      <c r="N154" s="114">
        <v>1</v>
      </c>
      <c r="O154" s="37">
        <v>42761</v>
      </c>
      <c r="P154" s="5"/>
      <c r="Q154" s="6"/>
      <c r="R154" s="6"/>
      <c r="S154" s="22"/>
      <c r="T154" s="5"/>
      <c r="U154" s="6"/>
      <c r="V154" s="6"/>
      <c r="W154" s="6"/>
      <c r="X154" s="22"/>
    </row>
    <row r="155" spans="1:24">
      <c r="A155" s="36">
        <v>100</v>
      </c>
      <c r="B155" s="30" t="s">
        <v>24</v>
      </c>
      <c r="C155" s="6">
        <v>21</v>
      </c>
      <c r="D155" s="30">
        <v>8</v>
      </c>
      <c r="E155" s="30" t="s">
        <v>19</v>
      </c>
      <c r="F155" s="40" t="s">
        <v>167</v>
      </c>
      <c r="G155" s="53">
        <v>42774</v>
      </c>
      <c r="H155" s="19">
        <v>42774</v>
      </c>
      <c r="I155" s="19" t="s">
        <v>282</v>
      </c>
      <c r="J155" s="92">
        <v>2</v>
      </c>
      <c r="K155" s="110">
        <v>0.5</v>
      </c>
      <c r="L155" s="92">
        <v>7</v>
      </c>
      <c r="M155" s="20">
        <f t="shared" si="9"/>
        <v>0.14000000000000001</v>
      </c>
      <c r="N155" s="114">
        <v>1</v>
      </c>
      <c r="O155" s="37">
        <v>42779</v>
      </c>
      <c r="P155" s="5">
        <v>-4</v>
      </c>
      <c r="Q155" s="6">
        <v>2</v>
      </c>
      <c r="R155" s="6">
        <v>2</v>
      </c>
      <c r="S155" s="22">
        <v>3</v>
      </c>
      <c r="T155" s="5">
        <v>10</v>
      </c>
      <c r="U155" s="6">
        <v>10</v>
      </c>
      <c r="V155" s="6">
        <v>8</v>
      </c>
      <c r="W155" s="6">
        <v>3</v>
      </c>
      <c r="X155" s="22">
        <v>3</v>
      </c>
    </row>
    <row r="156" spans="1:24">
      <c r="A156" s="36">
        <v>100</v>
      </c>
      <c r="B156" s="30" t="s">
        <v>24</v>
      </c>
      <c r="C156" s="6">
        <v>21</v>
      </c>
      <c r="D156" s="30">
        <v>8</v>
      </c>
      <c r="E156" s="30" t="s">
        <v>19</v>
      </c>
      <c r="F156" s="40" t="s">
        <v>167</v>
      </c>
      <c r="G156" s="53">
        <v>42891</v>
      </c>
      <c r="H156" s="19">
        <v>42891</v>
      </c>
      <c r="I156" s="19"/>
      <c r="J156" s="92">
        <v>3</v>
      </c>
      <c r="K156" s="110">
        <v>1.34</v>
      </c>
      <c r="L156" s="92">
        <v>33</v>
      </c>
      <c r="M156" s="20">
        <f t="shared" si="9"/>
        <v>0.66</v>
      </c>
      <c r="N156" s="114" t="s">
        <v>32</v>
      </c>
      <c r="O156" s="37">
        <v>42779</v>
      </c>
      <c r="P156" s="5"/>
      <c r="Q156" s="6"/>
      <c r="R156" s="6"/>
      <c r="S156" s="22"/>
      <c r="T156" s="5"/>
      <c r="U156" s="6"/>
      <c r="V156" s="6"/>
      <c r="W156" s="6"/>
      <c r="X156" s="22"/>
    </row>
    <row r="157" spans="1:24">
      <c r="A157" s="36">
        <v>101</v>
      </c>
      <c r="B157" s="30" t="s">
        <v>24</v>
      </c>
      <c r="C157" s="30">
        <v>22</v>
      </c>
      <c r="D157" s="30">
        <v>7</v>
      </c>
      <c r="E157" s="30" t="s">
        <v>18</v>
      </c>
      <c r="F157" s="40" t="s">
        <v>168</v>
      </c>
      <c r="G157" s="53">
        <v>42758</v>
      </c>
      <c r="H157" s="6"/>
      <c r="I157" s="19" t="s">
        <v>208</v>
      </c>
      <c r="J157" s="92">
        <v>1</v>
      </c>
      <c r="K157" s="110">
        <v>2</v>
      </c>
      <c r="L157" s="92">
        <f t="shared" ref="L157:L171" si="11">SUM(P157:X157)</f>
        <v>0</v>
      </c>
      <c r="M157" s="20">
        <f t="shared" si="9"/>
        <v>0</v>
      </c>
      <c r="N157" s="114">
        <v>1</v>
      </c>
      <c r="O157" s="37">
        <v>42761</v>
      </c>
      <c r="P157" s="5"/>
      <c r="Q157" s="6"/>
      <c r="R157" s="6"/>
      <c r="S157" s="22"/>
      <c r="T157" s="5"/>
      <c r="U157" s="6"/>
      <c r="V157" s="6"/>
      <c r="W157" s="6"/>
      <c r="X157" s="22"/>
    </row>
    <row r="158" spans="1:24">
      <c r="A158" s="36">
        <v>102</v>
      </c>
      <c r="B158" s="30" t="s">
        <v>24</v>
      </c>
      <c r="C158" s="6">
        <v>23</v>
      </c>
      <c r="D158" s="30">
        <v>8</v>
      </c>
      <c r="E158" s="30" t="s">
        <v>65</v>
      </c>
      <c r="F158" s="22" t="s">
        <v>169</v>
      </c>
      <c r="G158" s="53">
        <v>42758</v>
      </c>
      <c r="H158" s="19">
        <v>42758</v>
      </c>
      <c r="I158" s="19"/>
      <c r="J158" s="92">
        <v>1</v>
      </c>
      <c r="K158" s="110">
        <v>2</v>
      </c>
      <c r="L158" s="92">
        <f t="shared" si="11"/>
        <v>38</v>
      </c>
      <c r="M158" s="20">
        <f t="shared" si="9"/>
        <v>0.76</v>
      </c>
      <c r="N158" s="114">
        <v>4</v>
      </c>
      <c r="O158" s="37">
        <v>42769</v>
      </c>
      <c r="P158" s="5">
        <v>-4</v>
      </c>
      <c r="Q158" s="6">
        <v>2</v>
      </c>
      <c r="R158" s="6">
        <v>2</v>
      </c>
      <c r="S158" s="22">
        <v>3</v>
      </c>
      <c r="T158" s="5">
        <v>10</v>
      </c>
      <c r="U158" s="6">
        <v>9</v>
      </c>
      <c r="V158" s="6">
        <v>8</v>
      </c>
      <c r="W158" s="6">
        <v>5</v>
      </c>
      <c r="X158" s="22">
        <v>3</v>
      </c>
    </row>
    <row r="159" spans="1:24">
      <c r="A159" s="36">
        <v>103</v>
      </c>
      <c r="B159" s="30" t="s">
        <v>24</v>
      </c>
      <c r="C159" s="30">
        <v>24</v>
      </c>
      <c r="D159" s="30">
        <v>8</v>
      </c>
      <c r="E159" s="30" t="s">
        <v>40</v>
      </c>
      <c r="F159" s="40" t="s">
        <v>60</v>
      </c>
      <c r="G159" s="53">
        <v>42758</v>
      </c>
      <c r="H159" s="19">
        <v>42758</v>
      </c>
      <c r="I159" s="19" t="s">
        <v>210</v>
      </c>
      <c r="J159" s="92">
        <v>1</v>
      </c>
      <c r="K159" s="110">
        <v>0.06</v>
      </c>
      <c r="L159" s="92">
        <f t="shared" si="11"/>
        <v>0</v>
      </c>
      <c r="M159" s="20">
        <f t="shared" si="9"/>
        <v>0</v>
      </c>
      <c r="N159" s="114">
        <v>1</v>
      </c>
      <c r="O159" s="37">
        <v>42772</v>
      </c>
      <c r="P159" s="5">
        <v>-2</v>
      </c>
      <c r="Q159" s="6">
        <v>2</v>
      </c>
      <c r="R159" s="6">
        <v>0</v>
      </c>
      <c r="S159" s="22"/>
      <c r="T159" s="5"/>
      <c r="U159" s="6"/>
      <c r="V159" s="6"/>
      <c r="W159" s="6"/>
      <c r="X159" s="22"/>
    </row>
    <row r="160" spans="1:24">
      <c r="A160" s="36">
        <v>103</v>
      </c>
      <c r="B160" s="30" t="s">
        <v>24</v>
      </c>
      <c r="C160" s="30">
        <v>24</v>
      </c>
      <c r="D160" s="30">
        <v>8</v>
      </c>
      <c r="E160" s="30" t="s">
        <v>40</v>
      </c>
      <c r="F160" s="40" t="s">
        <v>60</v>
      </c>
      <c r="G160" s="53">
        <v>42778</v>
      </c>
      <c r="H160" s="19">
        <v>42778</v>
      </c>
      <c r="I160" s="19"/>
      <c r="J160" s="92">
        <v>2</v>
      </c>
      <c r="K160" s="110">
        <v>1.94</v>
      </c>
      <c r="L160" s="92">
        <f t="shared" si="11"/>
        <v>34</v>
      </c>
      <c r="M160" s="20">
        <f t="shared" si="9"/>
        <v>0.68</v>
      </c>
      <c r="N160" s="114" t="s">
        <v>30</v>
      </c>
      <c r="O160" s="37">
        <v>42779</v>
      </c>
      <c r="P160" s="5">
        <v>-2</v>
      </c>
      <c r="Q160" s="6">
        <v>2</v>
      </c>
      <c r="R160" s="6">
        <v>0</v>
      </c>
      <c r="S160" s="22">
        <v>3</v>
      </c>
      <c r="T160" s="5">
        <v>10</v>
      </c>
      <c r="U160" s="6">
        <v>3</v>
      </c>
      <c r="V160" s="6">
        <v>8</v>
      </c>
      <c r="W160" s="6">
        <v>7</v>
      </c>
      <c r="X160" s="22">
        <v>3</v>
      </c>
    </row>
    <row r="161" spans="1:24">
      <c r="A161" s="36">
        <v>104</v>
      </c>
      <c r="B161" s="30" t="s">
        <v>24</v>
      </c>
      <c r="C161" s="6">
        <v>25</v>
      </c>
      <c r="D161" s="30">
        <v>8</v>
      </c>
      <c r="E161" s="30" t="s">
        <v>0</v>
      </c>
      <c r="F161" s="40" t="s">
        <v>105</v>
      </c>
      <c r="G161" s="53">
        <v>42758</v>
      </c>
      <c r="H161" s="19"/>
      <c r="I161" s="19" t="s">
        <v>208</v>
      </c>
      <c r="J161" s="92">
        <v>1</v>
      </c>
      <c r="K161" s="110">
        <v>2</v>
      </c>
      <c r="L161" s="92">
        <f t="shared" si="11"/>
        <v>0</v>
      </c>
      <c r="M161" s="20">
        <f t="shared" si="9"/>
        <v>0</v>
      </c>
      <c r="N161" s="114">
        <v>1</v>
      </c>
      <c r="O161" s="37">
        <v>42761</v>
      </c>
      <c r="P161" s="5"/>
      <c r="Q161" s="6"/>
      <c r="R161" s="6"/>
      <c r="S161" s="22"/>
      <c r="T161" s="5"/>
      <c r="U161" s="6"/>
      <c r="V161" s="6"/>
      <c r="W161" s="6"/>
      <c r="X161" s="22"/>
    </row>
    <row r="162" spans="1:24">
      <c r="A162" s="36">
        <v>105</v>
      </c>
      <c r="B162" s="30" t="s">
        <v>24</v>
      </c>
      <c r="C162" s="30">
        <v>26</v>
      </c>
      <c r="D162" s="30">
        <v>7</v>
      </c>
      <c r="E162" s="30" t="s">
        <v>177</v>
      </c>
      <c r="F162" s="40" t="s">
        <v>170</v>
      </c>
      <c r="G162" s="53">
        <v>42758</v>
      </c>
      <c r="H162" s="19">
        <v>42753</v>
      </c>
      <c r="I162" s="19"/>
      <c r="J162" s="92">
        <v>1</v>
      </c>
      <c r="K162" s="110">
        <v>2</v>
      </c>
      <c r="L162" s="92">
        <f t="shared" si="11"/>
        <v>36</v>
      </c>
      <c r="M162" s="20">
        <f t="shared" si="9"/>
        <v>0.72</v>
      </c>
      <c r="N162" s="114">
        <v>4</v>
      </c>
      <c r="O162" s="37">
        <v>42769</v>
      </c>
      <c r="P162" s="5">
        <v>-2</v>
      </c>
      <c r="Q162" s="30">
        <v>2</v>
      </c>
      <c r="R162" s="30">
        <v>2</v>
      </c>
      <c r="S162" s="40">
        <v>3</v>
      </c>
      <c r="T162" s="36">
        <v>11</v>
      </c>
      <c r="U162" s="30">
        <v>7</v>
      </c>
      <c r="V162" s="30">
        <v>8</v>
      </c>
      <c r="W162" s="30">
        <v>2</v>
      </c>
      <c r="X162" s="40">
        <v>3</v>
      </c>
    </row>
    <row r="163" spans="1:24">
      <c r="A163" s="36">
        <v>106</v>
      </c>
      <c r="B163" s="30" t="s">
        <v>24</v>
      </c>
      <c r="C163" s="6">
        <v>27</v>
      </c>
      <c r="D163" s="30">
        <v>7</v>
      </c>
      <c r="E163" s="30" t="s">
        <v>192</v>
      </c>
      <c r="F163" s="40" t="s">
        <v>171</v>
      </c>
      <c r="G163" s="53">
        <v>42758</v>
      </c>
      <c r="H163" s="19">
        <v>42758</v>
      </c>
      <c r="I163" s="19" t="s">
        <v>217</v>
      </c>
      <c r="J163" s="92">
        <v>1</v>
      </c>
      <c r="K163" s="110">
        <v>2</v>
      </c>
      <c r="L163" s="92">
        <f t="shared" si="11"/>
        <v>7</v>
      </c>
      <c r="M163" s="20">
        <f t="shared" si="9"/>
        <v>0.14000000000000001</v>
      </c>
      <c r="N163" s="114">
        <v>1</v>
      </c>
      <c r="O163" s="37">
        <v>42769</v>
      </c>
      <c r="P163" s="5">
        <v>-20</v>
      </c>
      <c r="Q163" s="30">
        <v>1</v>
      </c>
      <c r="R163" s="30">
        <v>2</v>
      </c>
      <c r="S163" s="40">
        <v>3</v>
      </c>
      <c r="T163" s="36">
        <v>6</v>
      </c>
      <c r="U163" s="30">
        <v>0</v>
      </c>
      <c r="V163" s="30">
        <v>7</v>
      </c>
      <c r="W163" s="30">
        <v>5</v>
      </c>
      <c r="X163" s="40">
        <v>3</v>
      </c>
    </row>
    <row r="164" spans="1:24">
      <c r="A164" s="36">
        <v>106</v>
      </c>
      <c r="B164" s="30" t="s">
        <v>24</v>
      </c>
      <c r="C164" s="6">
        <v>27</v>
      </c>
      <c r="D164" s="30">
        <v>7</v>
      </c>
      <c r="E164" s="30" t="s">
        <v>192</v>
      </c>
      <c r="F164" s="40" t="s">
        <v>171</v>
      </c>
      <c r="G164" s="53">
        <v>42786</v>
      </c>
      <c r="H164" s="19">
        <v>42786</v>
      </c>
      <c r="I164" s="19"/>
      <c r="J164" s="92">
        <v>1</v>
      </c>
      <c r="K164" s="110">
        <v>2</v>
      </c>
      <c r="L164" s="92">
        <f>SUM(P164:X164)</f>
        <v>25</v>
      </c>
      <c r="M164" s="20">
        <f>L164/$L$2</f>
        <v>0.5</v>
      </c>
      <c r="N164" s="114" t="s">
        <v>31</v>
      </c>
      <c r="O164" s="37">
        <v>42789</v>
      </c>
      <c r="P164" s="5">
        <v>-4</v>
      </c>
      <c r="Q164" s="30">
        <v>1</v>
      </c>
      <c r="R164" s="30">
        <v>0</v>
      </c>
      <c r="S164" s="40">
        <v>3</v>
      </c>
      <c r="T164" s="36">
        <v>6</v>
      </c>
      <c r="U164" s="30">
        <v>3</v>
      </c>
      <c r="V164" s="30">
        <v>7</v>
      </c>
      <c r="W164" s="30">
        <v>6</v>
      </c>
      <c r="X164" s="40">
        <v>3</v>
      </c>
    </row>
    <row r="165" spans="1:24">
      <c r="A165" s="36">
        <v>107</v>
      </c>
      <c r="B165" s="30" t="s">
        <v>24</v>
      </c>
      <c r="C165" s="30">
        <v>28</v>
      </c>
      <c r="D165" s="30">
        <v>8</v>
      </c>
      <c r="E165" s="30" t="s">
        <v>68</v>
      </c>
      <c r="F165" s="40" t="s">
        <v>53</v>
      </c>
      <c r="G165" s="53">
        <v>42758</v>
      </c>
      <c r="H165" s="19"/>
      <c r="I165" s="19" t="s">
        <v>208</v>
      </c>
      <c r="J165" s="92">
        <v>1</v>
      </c>
      <c r="K165" s="110">
        <v>0.1</v>
      </c>
      <c r="L165" s="92">
        <f t="shared" si="11"/>
        <v>0</v>
      </c>
      <c r="M165" s="20">
        <f t="shared" si="9"/>
        <v>0</v>
      </c>
      <c r="N165" s="114">
        <v>1</v>
      </c>
      <c r="O165" s="37">
        <v>42761</v>
      </c>
      <c r="P165" s="5"/>
      <c r="Q165" s="30"/>
      <c r="R165" s="6"/>
      <c r="S165" s="40"/>
      <c r="T165" s="5"/>
      <c r="U165" s="6"/>
      <c r="V165" s="6"/>
      <c r="W165" s="6"/>
      <c r="X165" s="22"/>
    </row>
    <row r="166" spans="1:24">
      <c r="A166" s="36">
        <v>107</v>
      </c>
      <c r="B166" s="30" t="s">
        <v>24</v>
      </c>
      <c r="C166" s="30">
        <v>28</v>
      </c>
      <c r="D166" s="30">
        <v>8</v>
      </c>
      <c r="E166" s="30" t="s">
        <v>68</v>
      </c>
      <c r="F166" s="40" t="s">
        <v>53</v>
      </c>
      <c r="G166" s="53">
        <v>42768</v>
      </c>
      <c r="H166" s="19">
        <v>42768</v>
      </c>
      <c r="I166" s="19" t="s">
        <v>217</v>
      </c>
      <c r="J166" s="92">
        <v>2</v>
      </c>
      <c r="K166" s="110">
        <v>0.13</v>
      </c>
      <c r="L166" s="92">
        <f t="shared" si="11"/>
        <v>2</v>
      </c>
      <c r="M166" s="20">
        <f t="shared" si="9"/>
        <v>0.04</v>
      </c>
      <c r="N166" s="114">
        <v>1</v>
      </c>
      <c r="O166" s="37">
        <v>42772</v>
      </c>
      <c r="P166" s="5">
        <v>-2</v>
      </c>
      <c r="Q166" s="30">
        <v>2</v>
      </c>
      <c r="R166" s="6">
        <v>2</v>
      </c>
      <c r="S166" s="40">
        <v>0</v>
      </c>
      <c r="T166" s="5">
        <v>0</v>
      </c>
      <c r="U166" s="6">
        <v>0</v>
      </c>
      <c r="V166" s="6">
        <v>0</v>
      </c>
      <c r="W166" s="6">
        <v>0</v>
      </c>
      <c r="X166" s="22">
        <v>0</v>
      </c>
    </row>
    <row r="167" spans="1:24">
      <c r="A167" s="36">
        <v>107</v>
      </c>
      <c r="B167" s="30" t="s">
        <v>24</v>
      </c>
      <c r="C167" s="30">
        <v>28</v>
      </c>
      <c r="D167" s="30">
        <v>8</v>
      </c>
      <c r="E167" s="30" t="s">
        <v>68</v>
      </c>
      <c r="F167" s="40" t="s">
        <v>53</v>
      </c>
      <c r="G167" s="53">
        <v>42785</v>
      </c>
      <c r="H167" s="19">
        <v>42785</v>
      </c>
      <c r="I167" s="19"/>
      <c r="J167" s="92">
        <v>3</v>
      </c>
      <c r="K167" s="110">
        <v>1.77</v>
      </c>
      <c r="L167" s="92">
        <f>SUM(P167:X167)</f>
        <v>34</v>
      </c>
      <c r="M167" s="20">
        <f>L167/$L$2</f>
        <v>0.68</v>
      </c>
      <c r="N167" s="114" t="s">
        <v>30</v>
      </c>
      <c r="O167" s="37">
        <v>42789</v>
      </c>
      <c r="P167" s="5">
        <v>-3</v>
      </c>
      <c r="Q167" s="30">
        <v>2</v>
      </c>
      <c r="R167" s="6">
        <v>2</v>
      </c>
      <c r="S167" s="40">
        <v>2</v>
      </c>
      <c r="T167" s="5">
        <v>11</v>
      </c>
      <c r="U167" s="6">
        <v>2</v>
      </c>
      <c r="V167" s="6">
        <v>8</v>
      </c>
      <c r="W167" s="6">
        <v>7</v>
      </c>
      <c r="X167" s="22">
        <v>3</v>
      </c>
    </row>
    <row r="168" spans="1:24">
      <c r="A168" s="36">
        <v>108</v>
      </c>
      <c r="B168" s="30" t="s">
        <v>24</v>
      </c>
      <c r="C168" s="6">
        <v>29</v>
      </c>
      <c r="D168" s="30">
        <v>7</v>
      </c>
      <c r="E168" s="30" t="s">
        <v>48</v>
      </c>
      <c r="F168" s="40" t="s">
        <v>172</v>
      </c>
      <c r="G168" s="107">
        <v>42758</v>
      </c>
      <c r="H168" s="6"/>
      <c r="I168" s="19" t="s">
        <v>208</v>
      </c>
      <c r="J168" s="92">
        <v>1</v>
      </c>
      <c r="K168" s="110">
        <v>0.08</v>
      </c>
      <c r="L168" s="92">
        <f t="shared" si="11"/>
        <v>0</v>
      </c>
      <c r="M168" s="20">
        <f t="shared" si="9"/>
        <v>0</v>
      </c>
      <c r="N168" s="114">
        <v>1</v>
      </c>
      <c r="O168" s="37">
        <v>42761</v>
      </c>
      <c r="P168" s="5"/>
      <c r="Q168" s="30"/>
      <c r="R168" s="6"/>
      <c r="S168" s="40"/>
      <c r="T168" s="5"/>
      <c r="U168" s="6"/>
      <c r="V168" s="6"/>
      <c r="W168" s="6"/>
      <c r="X168" s="22"/>
    </row>
    <row r="169" spans="1:24">
      <c r="A169" s="36">
        <v>108</v>
      </c>
      <c r="B169" s="30" t="s">
        <v>24</v>
      </c>
      <c r="C169" s="6">
        <v>29</v>
      </c>
      <c r="D169" s="30">
        <v>7</v>
      </c>
      <c r="E169" s="30" t="s">
        <v>48</v>
      </c>
      <c r="F169" s="40" t="s">
        <v>172</v>
      </c>
      <c r="G169" s="118">
        <v>42766</v>
      </c>
      <c r="H169" s="100">
        <v>42766</v>
      </c>
      <c r="I169" s="100"/>
      <c r="J169" s="103">
        <v>2</v>
      </c>
      <c r="K169" s="102">
        <v>0.16</v>
      </c>
      <c r="L169" s="92">
        <f t="shared" si="11"/>
        <v>23</v>
      </c>
      <c r="M169" s="20">
        <f t="shared" si="9"/>
        <v>0.46</v>
      </c>
      <c r="N169" s="119" t="s">
        <v>35</v>
      </c>
      <c r="O169" s="101">
        <v>42772</v>
      </c>
      <c r="P169" s="116">
        <v>-6</v>
      </c>
      <c r="Q169" s="96">
        <v>2</v>
      </c>
      <c r="R169" s="97">
        <v>2</v>
      </c>
      <c r="S169" s="98">
        <v>2</v>
      </c>
      <c r="T169" s="116">
        <v>8</v>
      </c>
      <c r="U169" s="97">
        <v>1</v>
      </c>
      <c r="V169" s="97">
        <v>8</v>
      </c>
      <c r="W169" s="97">
        <v>3</v>
      </c>
      <c r="X169" s="117">
        <v>3</v>
      </c>
    </row>
    <row r="170" spans="1:24">
      <c r="A170" s="36">
        <v>108</v>
      </c>
      <c r="B170" s="30" t="s">
        <v>24</v>
      </c>
      <c r="C170" s="6">
        <v>29</v>
      </c>
      <c r="D170" s="30">
        <v>7</v>
      </c>
      <c r="E170" s="30" t="s">
        <v>48</v>
      </c>
      <c r="F170" s="40" t="s">
        <v>172</v>
      </c>
      <c r="G170" s="118">
        <v>42782</v>
      </c>
      <c r="H170" s="100">
        <v>42782</v>
      </c>
      <c r="I170" s="100"/>
      <c r="J170" s="103">
        <v>3</v>
      </c>
      <c r="K170" s="102">
        <v>1.76</v>
      </c>
      <c r="L170" s="92">
        <f>SUM(P170:X170)</f>
        <v>39</v>
      </c>
      <c r="M170" s="20">
        <f>L170/$L$2</f>
        <v>0.78</v>
      </c>
      <c r="N170" s="119" t="s">
        <v>34</v>
      </c>
      <c r="O170" s="101">
        <v>42787</v>
      </c>
      <c r="P170" s="116">
        <v>0</v>
      </c>
      <c r="Q170" s="96">
        <v>2</v>
      </c>
      <c r="R170" s="97">
        <v>2</v>
      </c>
      <c r="S170" s="98">
        <v>2</v>
      </c>
      <c r="T170" s="116">
        <v>10</v>
      </c>
      <c r="U170" s="97">
        <v>8</v>
      </c>
      <c r="V170" s="97">
        <v>8</v>
      </c>
      <c r="W170" s="97">
        <v>4</v>
      </c>
      <c r="X170" s="117">
        <v>3</v>
      </c>
    </row>
    <row r="171" spans="1:24" ht="15" thickBot="1">
      <c r="A171" s="38">
        <v>109</v>
      </c>
      <c r="B171" s="31" t="s">
        <v>24</v>
      </c>
      <c r="C171" s="24">
        <v>30</v>
      </c>
      <c r="D171" s="31">
        <v>7</v>
      </c>
      <c r="E171" s="24" t="s">
        <v>162</v>
      </c>
      <c r="F171" s="28" t="s">
        <v>163</v>
      </c>
      <c r="G171" s="108">
        <v>42758</v>
      </c>
      <c r="H171" s="24"/>
      <c r="I171" s="24" t="s">
        <v>208</v>
      </c>
      <c r="J171" s="93">
        <v>1</v>
      </c>
      <c r="K171" s="111">
        <v>2</v>
      </c>
      <c r="L171" s="93">
        <f t="shared" si="11"/>
        <v>0</v>
      </c>
      <c r="M171" s="26">
        <f t="shared" si="9"/>
        <v>0</v>
      </c>
      <c r="N171" s="115">
        <v>1</v>
      </c>
      <c r="O171" s="99">
        <v>42761</v>
      </c>
      <c r="P171" s="23"/>
      <c r="Q171" s="24"/>
      <c r="R171" s="24"/>
      <c r="S171" s="28"/>
      <c r="T171" s="23"/>
      <c r="U171" s="24"/>
      <c r="V171" s="24"/>
      <c r="W171" s="24"/>
      <c r="X171" s="28"/>
    </row>
    <row r="173" spans="1:24">
      <c r="I173" s="42"/>
    </row>
    <row r="174" spans="1:24">
      <c r="I174" s="42"/>
    </row>
    <row r="175" spans="1:24">
      <c r="G175" s="42"/>
      <c r="H175" s="42"/>
    </row>
  </sheetData>
  <autoFilter ref="A1:P171"/>
  <sortState ref="A3:AK125">
    <sortCondition ref="B3"/>
  </sortState>
  <mergeCells count="6">
    <mergeCell ref="N1:N2"/>
    <mergeCell ref="G1:G2"/>
    <mergeCell ref="H1:H2"/>
    <mergeCell ref="M1:M2"/>
    <mergeCell ref="J1:J2"/>
    <mergeCell ref="K1:K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L128"/>
  <sheetViews>
    <sheetView workbookViewId="0">
      <pane xSplit="6" ySplit="2" topLeftCell="G29" activePane="bottomRight" state="frozen"/>
      <selection pane="topRight" activeCell="G1" sqref="G1"/>
      <selection pane="bottomLeft" activeCell="A3" sqref="A3"/>
      <selection pane="bottomRight" activeCell="I50" sqref="I50"/>
    </sheetView>
  </sheetViews>
  <sheetFormatPr defaultColWidth="9.109375" defaultRowHeight="14.4"/>
  <cols>
    <col min="1" max="4" width="5.6640625" style="10" customWidth="1"/>
    <col min="5" max="9" width="17.6640625" style="10" customWidth="1"/>
    <col min="10" max="10" width="5.6640625" style="10" customWidth="1"/>
    <col min="11" max="11" width="5.6640625" style="29" customWidth="1"/>
    <col min="12" max="12" width="5.6640625" style="10" customWidth="1"/>
    <col min="13" max="13" width="6.88671875" style="10" customWidth="1"/>
    <col min="14" max="14" width="5.6640625" style="10" customWidth="1"/>
    <col min="15" max="15" width="15.6640625" style="10" customWidth="1"/>
    <col min="16" max="16" width="4.6640625" style="10" customWidth="1"/>
    <col min="17" max="18" width="5.5546875" style="10" customWidth="1"/>
    <col min="19" max="37" width="4.6640625" style="10" customWidth="1"/>
    <col min="38" max="38" width="16" style="10" bestFit="1" customWidth="1"/>
    <col min="39" max="39" width="10.44140625" style="10" bestFit="1" customWidth="1"/>
    <col min="40" max="16384" width="9.109375" style="10"/>
  </cols>
  <sheetData>
    <row r="1" spans="1:23" ht="88.5" customHeight="1">
      <c r="A1" s="87" t="s">
        <v>3</v>
      </c>
      <c r="B1" s="82" t="s">
        <v>4</v>
      </c>
      <c r="C1" s="82" t="s">
        <v>6</v>
      </c>
      <c r="D1" s="49" t="s">
        <v>5</v>
      </c>
      <c r="E1" s="82" t="s">
        <v>7</v>
      </c>
      <c r="F1" s="83" t="s">
        <v>8</v>
      </c>
      <c r="G1" s="583" t="s">
        <v>200</v>
      </c>
      <c r="H1" s="585" t="s">
        <v>201</v>
      </c>
      <c r="I1" s="150" t="s">
        <v>203</v>
      </c>
      <c r="J1" s="589" t="s">
        <v>204</v>
      </c>
      <c r="K1" s="587" t="s">
        <v>205</v>
      </c>
      <c r="L1" s="141" t="s">
        <v>206</v>
      </c>
      <c r="M1" s="591" t="s">
        <v>29</v>
      </c>
      <c r="N1" s="581" t="s">
        <v>28</v>
      </c>
      <c r="O1" s="50" t="s">
        <v>207</v>
      </c>
      <c r="P1" s="148" t="s">
        <v>295</v>
      </c>
      <c r="Q1" s="90" t="s">
        <v>296</v>
      </c>
      <c r="R1" s="90" t="s">
        <v>301</v>
      </c>
      <c r="S1" s="50" t="s">
        <v>297</v>
      </c>
      <c r="T1" s="89" t="s">
        <v>298</v>
      </c>
      <c r="U1" s="90" t="s">
        <v>299</v>
      </c>
      <c r="V1" s="90" t="s">
        <v>300</v>
      </c>
      <c r="W1" s="90" t="s">
        <v>304</v>
      </c>
    </row>
    <row r="2" spans="1:23" ht="15" thickBot="1">
      <c r="A2" s="86"/>
      <c r="B2" s="84"/>
      <c r="C2" s="84"/>
      <c r="D2" s="88"/>
      <c r="E2" s="84"/>
      <c r="F2" s="85"/>
      <c r="G2" s="584"/>
      <c r="H2" s="586"/>
      <c r="I2" s="151"/>
      <c r="J2" s="590"/>
      <c r="K2" s="588"/>
      <c r="L2" s="112">
        <f>SUM(P2:W2)</f>
        <v>25</v>
      </c>
      <c r="M2" s="592"/>
      <c r="N2" s="582"/>
      <c r="O2" s="85"/>
      <c r="P2" s="149">
        <v>1</v>
      </c>
      <c r="Q2" s="149">
        <v>2</v>
      </c>
      <c r="R2" s="149">
        <v>2</v>
      </c>
      <c r="S2" s="85">
        <v>2</v>
      </c>
      <c r="T2" s="86">
        <v>2</v>
      </c>
      <c r="U2" s="164">
        <v>5</v>
      </c>
      <c r="V2" s="149">
        <v>5</v>
      </c>
      <c r="W2" s="149">
        <v>6</v>
      </c>
    </row>
    <row r="3" spans="1:23" hidden="1">
      <c r="A3" s="189">
        <v>3056</v>
      </c>
      <c r="B3" s="186" t="s">
        <v>21</v>
      </c>
      <c r="C3" s="186">
        <v>1</v>
      </c>
      <c r="D3" s="186">
        <v>1</v>
      </c>
      <c r="E3" s="186" t="s">
        <v>452</v>
      </c>
      <c r="F3" s="186" t="s">
        <v>17</v>
      </c>
      <c r="G3" s="139">
        <v>43158</v>
      </c>
      <c r="H3" s="139"/>
      <c r="I3" s="4" t="s">
        <v>553</v>
      </c>
      <c r="J3" s="94">
        <v>1</v>
      </c>
      <c r="K3" s="152">
        <v>1</v>
      </c>
      <c r="L3" s="156">
        <f t="shared" ref="L3:L73" si="0">SUM(P3:W3)</f>
        <v>0</v>
      </c>
      <c r="M3" s="160">
        <f>L3/$L$2</f>
        <v>0</v>
      </c>
      <c r="N3" s="52"/>
      <c r="O3" s="139"/>
      <c r="P3" s="138"/>
      <c r="Q3" s="138"/>
      <c r="R3" s="138"/>
      <c r="S3" s="138"/>
      <c r="T3" s="138"/>
      <c r="U3" s="138"/>
      <c r="V3" s="138"/>
      <c r="W3" s="165"/>
    </row>
    <row r="4" spans="1:23" hidden="1">
      <c r="A4" s="190">
        <v>3057</v>
      </c>
      <c r="B4" s="187" t="s">
        <v>21</v>
      </c>
      <c r="C4" s="187">
        <v>2</v>
      </c>
      <c r="D4" s="187">
        <v>1</v>
      </c>
      <c r="E4" s="187" t="s">
        <v>334</v>
      </c>
      <c r="F4" s="187" t="s">
        <v>335</v>
      </c>
      <c r="G4" s="133">
        <v>43158</v>
      </c>
      <c r="H4" s="133">
        <v>43158</v>
      </c>
      <c r="I4" s="6"/>
      <c r="J4" s="92">
        <v>1</v>
      </c>
      <c r="K4" s="153">
        <v>1</v>
      </c>
      <c r="L4" s="157">
        <f t="shared" si="0"/>
        <v>23</v>
      </c>
      <c r="M4" s="161">
        <f t="shared" ref="M4:M74" si="1">L4/$L$2</f>
        <v>0.92</v>
      </c>
      <c r="N4" s="32">
        <v>5</v>
      </c>
      <c r="O4" s="133">
        <v>43167</v>
      </c>
      <c r="P4" s="132">
        <v>1</v>
      </c>
      <c r="Q4" s="132">
        <v>2</v>
      </c>
      <c r="R4" s="132">
        <v>2</v>
      </c>
      <c r="S4" s="132">
        <v>0</v>
      </c>
      <c r="T4" s="132">
        <v>2</v>
      </c>
      <c r="U4" s="132">
        <v>5</v>
      </c>
      <c r="V4" s="132">
        <v>5</v>
      </c>
      <c r="W4" s="166">
        <v>6</v>
      </c>
    </row>
    <row r="5" spans="1:23" hidden="1">
      <c r="A5" s="190">
        <v>3058</v>
      </c>
      <c r="B5" s="187" t="s">
        <v>21</v>
      </c>
      <c r="C5" s="187">
        <v>3</v>
      </c>
      <c r="D5" s="187">
        <v>2</v>
      </c>
      <c r="E5" s="187" t="s">
        <v>459</v>
      </c>
      <c r="F5" s="187" t="s">
        <v>336</v>
      </c>
      <c r="G5" s="133">
        <v>43158</v>
      </c>
      <c r="H5" s="133">
        <v>43158</v>
      </c>
      <c r="I5" s="6"/>
      <c r="J5" s="92">
        <v>1</v>
      </c>
      <c r="K5" s="153">
        <v>1</v>
      </c>
      <c r="L5" s="157">
        <f t="shared" si="0"/>
        <v>0</v>
      </c>
      <c r="M5" s="161">
        <f t="shared" si="1"/>
        <v>0</v>
      </c>
      <c r="N5" s="32"/>
      <c r="O5" s="133"/>
      <c r="P5" s="132"/>
      <c r="Q5" s="132"/>
      <c r="R5" s="132"/>
      <c r="S5" s="132"/>
      <c r="T5" s="132"/>
      <c r="U5" s="132"/>
      <c r="V5" s="132"/>
      <c r="W5" s="166"/>
    </row>
    <row r="6" spans="1:23" hidden="1">
      <c r="A6" s="190">
        <v>3059</v>
      </c>
      <c r="B6" s="187" t="s">
        <v>21</v>
      </c>
      <c r="C6" s="187">
        <v>4</v>
      </c>
      <c r="D6" s="187">
        <v>1</v>
      </c>
      <c r="E6" s="187" t="s">
        <v>40</v>
      </c>
      <c r="F6" s="187" t="s">
        <v>44</v>
      </c>
      <c r="G6" s="133">
        <v>43158</v>
      </c>
      <c r="H6" s="133">
        <v>43158</v>
      </c>
      <c r="I6" s="6"/>
      <c r="J6" s="92">
        <v>1</v>
      </c>
      <c r="K6" s="153">
        <v>1</v>
      </c>
      <c r="L6" s="157">
        <f t="shared" si="0"/>
        <v>25</v>
      </c>
      <c r="M6" s="161">
        <f t="shared" si="1"/>
        <v>1</v>
      </c>
      <c r="N6" s="32" t="s">
        <v>36</v>
      </c>
      <c r="O6" s="133">
        <v>43167</v>
      </c>
      <c r="P6" s="132">
        <v>1</v>
      </c>
      <c r="Q6" s="132">
        <v>2</v>
      </c>
      <c r="R6" s="132">
        <v>2</v>
      </c>
      <c r="S6" s="132">
        <v>2</v>
      </c>
      <c r="T6" s="132">
        <v>2</v>
      </c>
      <c r="U6" s="132">
        <v>5</v>
      </c>
      <c r="V6" s="132">
        <v>5</v>
      </c>
      <c r="W6" s="166">
        <v>6</v>
      </c>
    </row>
    <row r="7" spans="1:23" hidden="1">
      <c r="A7" s="190">
        <v>3187</v>
      </c>
      <c r="B7" s="187" t="s">
        <v>21</v>
      </c>
      <c r="C7" s="187">
        <v>5</v>
      </c>
      <c r="D7" s="187">
        <v>2</v>
      </c>
      <c r="E7" s="187" t="s">
        <v>460</v>
      </c>
      <c r="F7" s="187" t="s">
        <v>337</v>
      </c>
      <c r="G7" s="133">
        <v>43158</v>
      </c>
      <c r="H7" s="133">
        <v>43158</v>
      </c>
      <c r="I7" s="6"/>
      <c r="J7" s="92">
        <v>1</v>
      </c>
      <c r="K7" s="153">
        <v>1</v>
      </c>
      <c r="L7" s="157">
        <f t="shared" si="0"/>
        <v>0</v>
      </c>
      <c r="M7" s="161">
        <f t="shared" si="1"/>
        <v>0</v>
      </c>
      <c r="N7" s="32"/>
      <c r="O7" s="19"/>
      <c r="P7" s="135"/>
      <c r="Q7" s="132"/>
      <c r="R7" s="132"/>
      <c r="S7" s="132"/>
      <c r="T7" s="132"/>
      <c r="U7" s="132"/>
      <c r="V7" s="132"/>
      <c r="W7" s="166"/>
    </row>
    <row r="8" spans="1:23" hidden="1">
      <c r="A8" s="190">
        <v>3060</v>
      </c>
      <c r="B8" s="187" t="s">
        <v>21</v>
      </c>
      <c r="C8" s="187">
        <v>6</v>
      </c>
      <c r="D8" s="187">
        <v>2</v>
      </c>
      <c r="E8" s="187" t="s">
        <v>461</v>
      </c>
      <c r="F8" s="187" t="s">
        <v>338</v>
      </c>
      <c r="G8" s="133">
        <v>43158</v>
      </c>
      <c r="H8" s="133">
        <v>43158</v>
      </c>
      <c r="I8" s="6"/>
      <c r="J8" s="92">
        <v>1</v>
      </c>
      <c r="K8" s="153">
        <v>1</v>
      </c>
      <c r="L8" s="157">
        <f t="shared" si="0"/>
        <v>0</v>
      </c>
      <c r="M8" s="161">
        <f t="shared" si="1"/>
        <v>0</v>
      </c>
      <c r="N8" s="32"/>
      <c r="O8" s="19"/>
      <c r="P8" s="135"/>
      <c r="Q8" s="132"/>
      <c r="R8" s="132"/>
      <c r="S8" s="132"/>
      <c r="T8" s="132"/>
      <c r="U8" s="132"/>
      <c r="V8" s="132"/>
      <c r="W8" s="166"/>
    </row>
    <row r="9" spans="1:23" hidden="1">
      <c r="A9" s="190">
        <v>3061</v>
      </c>
      <c r="B9" s="187" t="s">
        <v>21</v>
      </c>
      <c r="C9" s="187">
        <v>7</v>
      </c>
      <c r="D9" s="187">
        <v>2</v>
      </c>
      <c r="E9" s="187" t="s">
        <v>48</v>
      </c>
      <c r="F9" s="187" t="s">
        <v>339</v>
      </c>
      <c r="G9" s="133">
        <v>43158</v>
      </c>
      <c r="H9" s="133">
        <v>43158</v>
      </c>
      <c r="I9" s="6"/>
      <c r="J9" s="92">
        <v>1</v>
      </c>
      <c r="K9" s="153">
        <v>1</v>
      </c>
      <c r="L9" s="157">
        <f t="shared" si="0"/>
        <v>0</v>
      </c>
      <c r="M9" s="161">
        <f t="shared" si="1"/>
        <v>0</v>
      </c>
      <c r="N9" s="32"/>
      <c r="O9" s="19"/>
      <c r="P9" s="135"/>
      <c r="Q9" s="132"/>
      <c r="R9" s="132"/>
      <c r="S9" s="132"/>
      <c r="T9" s="132"/>
      <c r="U9" s="132"/>
      <c r="V9" s="132"/>
      <c r="W9" s="166"/>
    </row>
    <row r="10" spans="1:23" hidden="1">
      <c r="A10" s="190">
        <v>3062</v>
      </c>
      <c r="B10" s="187" t="s">
        <v>21</v>
      </c>
      <c r="C10" s="187">
        <v>8</v>
      </c>
      <c r="D10" s="187">
        <v>2</v>
      </c>
      <c r="E10" s="187" t="s">
        <v>340</v>
      </c>
      <c r="F10" s="187" t="s">
        <v>341</v>
      </c>
      <c r="G10" s="133">
        <v>43158</v>
      </c>
      <c r="H10" s="133">
        <v>43158</v>
      </c>
      <c r="I10" s="6"/>
      <c r="J10" s="92">
        <v>1</v>
      </c>
      <c r="K10" s="153">
        <v>1</v>
      </c>
      <c r="L10" s="157">
        <f t="shared" si="0"/>
        <v>0</v>
      </c>
      <c r="M10" s="161">
        <f t="shared" si="1"/>
        <v>0</v>
      </c>
      <c r="N10" s="32"/>
      <c r="O10" s="133"/>
      <c r="P10" s="132"/>
      <c r="Q10" s="132"/>
      <c r="R10" s="132"/>
      <c r="S10" s="132"/>
      <c r="T10" s="132"/>
      <c r="U10" s="132"/>
      <c r="V10" s="132"/>
      <c r="W10" s="166"/>
    </row>
    <row r="11" spans="1:23" hidden="1">
      <c r="A11" s="190">
        <v>3063</v>
      </c>
      <c r="B11" s="187" t="s">
        <v>21</v>
      </c>
      <c r="C11" s="187">
        <v>9</v>
      </c>
      <c r="D11" s="187">
        <v>1</v>
      </c>
      <c r="E11" s="187" t="s">
        <v>188</v>
      </c>
      <c r="F11" s="187" t="s">
        <v>342</v>
      </c>
      <c r="G11" s="133">
        <v>43158</v>
      </c>
      <c r="H11" s="133">
        <v>43158</v>
      </c>
      <c r="I11" s="6"/>
      <c r="J11" s="92">
        <v>1</v>
      </c>
      <c r="K11" s="153">
        <v>1</v>
      </c>
      <c r="L11" s="157">
        <f>SUM(P11:W11)</f>
        <v>18</v>
      </c>
      <c r="M11" s="161">
        <f>L11/$L$2</f>
        <v>0.72</v>
      </c>
      <c r="N11" s="32" t="s">
        <v>30</v>
      </c>
      <c r="O11" s="133">
        <v>43167</v>
      </c>
      <c r="P11" s="132">
        <v>1</v>
      </c>
      <c r="Q11" s="132">
        <v>1</v>
      </c>
      <c r="R11" s="132">
        <v>2</v>
      </c>
      <c r="S11" s="132">
        <v>1</v>
      </c>
      <c r="T11" s="132">
        <v>2</v>
      </c>
      <c r="U11" s="132">
        <v>5</v>
      </c>
      <c r="V11" s="132">
        <v>0</v>
      </c>
      <c r="W11" s="166">
        <v>6</v>
      </c>
    </row>
    <row r="12" spans="1:23" hidden="1">
      <c r="A12" s="190">
        <v>3064</v>
      </c>
      <c r="B12" s="187" t="s">
        <v>21</v>
      </c>
      <c r="C12" s="187">
        <v>10</v>
      </c>
      <c r="D12" s="187">
        <v>2</v>
      </c>
      <c r="E12" s="187" t="s">
        <v>462</v>
      </c>
      <c r="F12" s="187" t="s">
        <v>343</v>
      </c>
      <c r="G12" s="133">
        <v>43158</v>
      </c>
      <c r="H12" s="133">
        <v>43158</v>
      </c>
      <c r="I12" s="6"/>
      <c r="J12" s="92">
        <v>1</v>
      </c>
      <c r="K12" s="153">
        <v>1</v>
      </c>
      <c r="L12" s="157">
        <f t="shared" si="0"/>
        <v>0</v>
      </c>
      <c r="M12" s="161">
        <f t="shared" si="1"/>
        <v>0</v>
      </c>
      <c r="N12" s="32"/>
      <c r="O12" s="133"/>
      <c r="P12" s="132"/>
      <c r="Q12" s="132"/>
      <c r="R12" s="132"/>
      <c r="S12" s="132"/>
      <c r="T12" s="132"/>
      <c r="U12" s="132"/>
      <c r="V12" s="132"/>
      <c r="W12" s="166"/>
    </row>
    <row r="13" spans="1:23" hidden="1">
      <c r="A13" s="190">
        <v>3067</v>
      </c>
      <c r="B13" s="187" t="s">
        <v>21</v>
      </c>
      <c r="C13" s="187">
        <v>12</v>
      </c>
      <c r="D13" s="187">
        <v>1</v>
      </c>
      <c r="E13" s="187" t="s">
        <v>453</v>
      </c>
      <c r="F13" s="187" t="s">
        <v>345</v>
      </c>
      <c r="G13" s="133">
        <v>43158</v>
      </c>
      <c r="H13" s="133">
        <v>43158</v>
      </c>
      <c r="I13" s="6"/>
      <c r="J13" s="92">
        <v>1</v>
      </c>
      <c r="K13" s="153">
        <v>1</v>
      </c>
      <c r="L13" s="157">
        <f t="shared" si="0"/>
        <v>20</v>
      </c>
      <c r="M13" s="161">
        <f t="shared" si="1"/>
        <v>0.8</v>
      </c>
      <c r="N13" s="32">
        <v>4</v>
      </c>
      <c r="O13" s="133">
        <v>43167</v>
      </c>
      <c r="P13" s="132">
        <v>1</v>
      </c>
      <c r="Q13" s="132">
        <v>2</v>
      </c>
      <c r="R13" s="132">
        <v>2</v>
      </c>
      <c r="S13" s="132">
        <v>2</v>
      </c>
      <c r="T13" s="132">
        <v>2</v>
      </c>
      <c r="U13" s="132">
        <v>5</v>
      </c>
      <c r="V13" s="132">
        <v>0</v>
      </c>
      <c r="W13" s="166">
        <v>6</v>
      </c>
    </row>
    <row r="14" spans="1:23" hidden="1">
      <c r="A14" s="190">
        <v>3180</v>
      </c>
      <c r="B14" s="187" t="s">
        <v>21</v>
      </c>
      <c r="C14" s="187">
        <v>13</v>
      </c>
      <c r="D14" s="187">
        <v>1</v>
      </c>
      <c r="E14" s="187" t="s">
        <v>463</v>
      </c>
      <c r="F14" s="187" t="s">
        <v>346</v>
      </c>
      <c r="G14" s="133">
        <v>43158</v>
      </c>
      <c r="H14" s="133">
        <v>43158</v>
      </c>
      <c r="I14" s="6"/>
      <c r="J14" s="92">
        <v>1</v>
      </c>
      <c r="K14" s="153">
        <v>1</v>
      </c>
      <c r="L14" s="157">
        <f>SUM(P14:W14)</f>
        <v>18</v>
      </c>
      <c r="M14" s="161">
        <f>L14/$L$2</f>
        <v>0.72</v>
      </c>
      <c r="N14" s="32" t="s">
        <v>30</v>
      </c>
      <c r="O14" s="133">
        <v>43167</v>
      </c>
      <c r="P14" s="132">
        <v>1</v>
      </c>
      <c r="Q14" s="132">
        <v>1</v>
      </c>
      <c r="R14" s="132">
        <v>2</v>
      </c>
      <c r="S14" s="132">
        <v>1</v>
      </c>
      <c r="T14" s="132">
        <v>2</v>
      </c>
      <c r="U14" s="132">
        <v>5</v>
      </c>
      <c r="V14" s="132">
        <v>0</v>
      </c>
      <c r="W14" s="166">
        <v>6</v>
      </c>
    </row>
    <row r="15" spans="1:23" hidden="1">
      <c r="A15" s="190">
        <v>3069</v>
      </c>
      <c r="B15" s="187" t="s">
        <v>21</v>
      </c>
      <c r="C15" s="187">
        <v>14</v>
      </c>
      <c r="D15" s="187">
        <v>1</v>
      </c>
      <c r="E15" s="187" t="s">
        <v>347</v>
      </c>
      <c r="F15" s="187" t="s">
        <v>348</v>
      </c>
      <c r="G15" s="133">
        <v>43158</v>
      </c>
      <c r="H15" s="133">
        <v>43158</v>
      </c>
      <c r="I15" s="6" t="s">
        <v>223</v>
      </c>
      <c r="J15" s="92">
        <v>1</v>
      </c>
      <c r="K15" s="153">
        <v>1</v>
      </c>
      <c r="L15" s="157">
        <f t="shared" si="0"/>
        <v>0</v>
      </c>
      <c r="M15" s="161">
        <f t="shared" si="1"/>
        <v>0</v>
      </c>
      <c r="N15" s="32">
        <v>1</v>
      </c>
      <c r="O15" s="133">
        <v>43167</v>
      </c>
      <c r="P15" s="132"/>
      <c r="Q15" s="132"/>
      <c r="R15" s="132"/>
      <c r="S15" s="132"/>
      <c r="T15" s="132"/>
      <c r="U15" s="132"/>
      <c r="V15" s="132"/>
      <c r="W15" s="166"/>
    </row>
    <row r="16" spans="1:23" hidden="1">
      <c r="A16" s="190">
        <v>3181</v>
      </c>
      <c r="B16" s="187" t="s">
        <v>21</v>
      </c>
      <c r="C16" s="187">
        <v>15</v>
      </c>
      <c r="D16" s="187">
        <v>2</v>
      </c>
      <c r="E16" s="187" t="s">
        <v>464</v>
      </c>
      <c r="F16" s="187" t="s">
        <v>349</v>
      </c>
      <c r="G16" s="133">
        <v>43158</v>
      </c>
      <c r="H16" s="133">
        <v>43158</v>
      </c>
      <c r="I16" s="6"/>
      <c r="J16" s="92">
        <v>1</v>
      </c>
      <c r="K16" s="153">
        <v>1</v>
      </c>
      <c r="L16" s="157">
        <f t="shared" si="0"/>
        <v>0</v>
      </c>
      <c r="M16" s="161">
        <f t="shared" si="1"/>
        <v>0</v>
      </c>
      <c r="N16" s="32"/>
      <c r="O16" s="19"/>
      <c r="P16" s="135"/>
      <c r="Q16" s="132"/>
      <c r="R16" s="132"/>
      <c r="S16" s="132"/>
      <c r="T16" s="132"/>
      <c r="U16" s="132"/>
      <c r="V16" s="132"/>
      <c r="W16" s="166"/>
    </row>
    <row r="17" spans="1:23" hidden="1">
      <c r="A17" s="190">
        <v>3070</v>
      </c>
      <c r="B17" s="187" t="s">
        <v>21</v>
      </c>
      <c r="C17" s="187">
        <v>16</v>
      </c>
      <c r="D17" s="187">
        <v>1</v>
      </c>
      <c r="E17" s="187" t="s">
        <v>454</v>
      </c>
      <c r="F17" s="187" t="s">
        <v>350</v>
      </c>
      <c r="G17" s="133">
        <v>43158</v>
      </c>
      <c r="H17" s="133">
        <v>43158</v>
      </c>
      <c r="I17" s="6" t="s">
        <v>223</v>
      </c>
      <c r="J17" s="92">
        <v>1</v>
      </c>
      <c r="K17" s="153">
        <v>1</v>
      </c>
      <c r="L17" s="157">
        <f t="shared" si="0"/>
        <v>0</v>
      </c>
      <c r="M17" s="161">
        <f t="shared" si="1"/>
        <v>0</v>
      </c>
      <c r="N17" s="32">
        <v>1</v>
      </c>
      <c r="O17" s="19">
        <v>43167</v>
      </c>
      <c r="P17" s="135"/>
      <c r="Q17" s="132"/>
      <c r="R17" s="132"/>
      <c r="S17" s="132"/>
      <c r="T17" s="132"/>
      <c r="U17" s="132"/>
      <c r="V17" s="132"/>
      <c r="W17" s="166"/>
    </row>
    <row r="18" spans="1:23" hidden="1">
      <c r="A18" s="190">
        <v>3072</v>
      </c>
      <c r="B18" s="187" t="s">
        <v>21</v>
      </c>
      <c r="C18" s="187">
        <v>17</v>
      </c>
      <c r="D18" s="187">
        <v>1</v>
      </c>
      <c r="E18" s="187" t="s">
        <v>455</v>
      </c>
      <c r="F18" s="187" t="s">
        <v>57</v>
      </c>
      <c r="G18" s="133">
        <v>43158</v>
      </c>
      <c r="H18" s="133">
        <v>43158</v>
      </c>
      <c r="I18" s="6"/>
      <c r="J18" s="92">
        <v>1</v>
      </c>
      <c r="K18" s="153">
        <v>1</v>
      </c>
      <c r="L18" s="157">
        <f t="shared" si="0"/>
        <v>17</v>
      </c>
      <c r="M18" s="161">
        <f t="shared" si="1"/>
        <v>0.68</v>
      </c>
      <c r="N18" s="32" t="s">
        <v>32</v>
      </c>
      <c r="O18" s="19">
        <v>43167</v>
      </c>
      <c r="P18" s="132">
        <v>1</v>
      </c>
      <c r="Q18" s="132">
        <v>2</v>
      </c>
      <c r="R18" s="132">
        <v>2</v>
      </c>
      <c r="S18" s="132">
        <v>0</v>
      </c>
      <c r="T18" s="132">
        <v>1</v>
      </c>
      <c r="U18" s="132">
        <v>5</v>
      </c>
      <c r="V18" s="132">
        <v>0</v>
      </c>
      <c r="W18" s="166">
        <v>6</v>
      </c>
    </row>
    <row r="19" spans="1:23" hidden="1">
      <c r="A19" s="190">
        <v>3073</v>
      </c>
      <c r="B19" s="187" t="s">
        <v>21</v>
      </c>
      <c r="C19" s="187">
        <v>18</v>
      </c>
      <c r="D19" s="187">
        <v>2</v>
      </c>
      <c r="E19" s="187" t="s">
        <v>2</v>
      </c>
      <c r="F19" s="187" t="s">
        <v>352</v>
      </c>
      <c r="G19" s="133">
        <v>43158</v>
      </c>
      <c r="H19" s="133">
        <v>43158</v>
      </c>
      <c r="I19" s="6"/>
      <c r="J19" s="92">
        <v>1</v>
      </c>
      <c r="K19" s="153">
        <v>1</v>
      </c>
      <c r="L19" s="157">
        <f t="shared" si="0"/>
        <v>0</v>
      </c>
      <c r="M19" s="161">
        <f t="shared" si="1"/>
        <v>0</v>
      </c>
      <c r="N19" s="32"/>
      <c r="O19" s="19"/>
      <c r="P19" s="135"/>
      <c r="Q19" s="132"/>
      <c r="R19" s="132"/>
      <c r="S19" s="132"/>
      <c r="T19" s="132"/>
      <c r="U19" s="132"/>
      <c r="V19" s="132"/>
      <c r="W19" s="166"/>
    </row>
    <row r="20" spans="1:23" hidden="1">
      <c r="A20" s="190">
        <v>3074</v>
      </c>
      <c r="B20" s="187" t="s">
        <v>21</v>
      </c>
      <c r="C20" s="187">
        <v>19</v>
      </c>
      <c r="D20" s="187">
        <v>2</v>
      </c>
      <c r="E20" s="187" t="s">
        <v>353</v>
      </c>
      <c r="F20" s="187" t="s">
        <v>352</v>
      </c>
      <c r="G20" s="133">
        <v>43158</v>
      </c>
      <c r="H20" s="133">
        <v>43158</v>
      </c>
      <c r="I20" s="6"/>
      <c r="J20" s="92">
        <v>1</v>
      </c>
      <c r="K20" s="153">
        <v>1</v>
      </c>
      <c r="L20" s="157">
        <f t="shared" si="0"/>
        <v>0</v>
      </c>
      <c r="M20" s="161">
        <f t="shared" si="1"/>
        <v>0</v>
      </c>
      <c r="N20" s="32"/>
      <c r="O20" s="19"/>
      <c r="P20" s="135"/>
      <c r="Q20" s="132"/>
      <c r="R20" s="132"/>
      <c r="S20" s="132"/>
      <c r="T20" s="132"/>
      <c r="U20" s="132"/>
      <c r="V20" s="132"/>
      <c r="W20" s="166"/>
    </row>
    <row r="21" spans="1:23" hidden="1">
      <c r="A21" s="190">
        <v>3075</v>
      </c>
      <c r="B21" s="187" t="s">
        <v>21</v>
      </c>
      <c r="C21" s="187">
        <v>20</v>
      </c>
      <c r="D21" s="187">
        <v>2</v>
      </c>
      <c r="E21" s="187" t="s">
        <v>465</v>
      </c>
      <c r="F21" s="187" t="s">
        <v>355</v>
      </c>
      <c r="G21" s="133">
        <v>43158</v>
      </c>
      <c r="H21" s="133">
        <v>43158</v>
      </c>
      <c r="I21" s="6"/>
      <c r="J21" s="92">
        <v>1</v>
      </c>
      <c r="K21" s="153">
        <v>1</v>
      </c>
      <c r="L21" s="157">
        <f t="shared" si="0"/>
        <v>0</v>
      </c>
      <c r="M21" s="161">
        <f t="shared" si="1"/>
        <v>0</v>
      </c>
      <c r="N21" s="32"/>
      <c r="O21" s="19"/>
      <c r="P21" s="135"/>
      <c r="Q21" s="132"/>
      <c r="R21" s="132"/>
      <c r="S21" s="132"/>
      <c r="T21" s="132"/>
      <c r="U21" s="132"/>
      <c r="V21" s="132"/>
      <c r="W21" s="166"/>
    </row>
    <row r="22" spans="1:23" hidden="1">
      <c r="A22" s="190">
        <v>3076</v>
      </c>
      <c r="B22" s="187" t="s">
        <v>21</v>
      </c>
      <c r="C22" s="187">
        <v>21</v>
      </c>
      <c r="D22" s="187">
        <v>1</v>
      </c>
      <c r="E22" s="187" t="s">
        <v>456</v>
      </c>
      <c r="F22" s="187" t="s">
        <v>356</v>
      </c>
      <c r="G22" s="133">
        <v>43158</v>
      </c>
      <c r="H22" s="133">
        <v>43158</v>
      </c>
      <c r="I22" s="6"/>
      <c r="J22" s="92">
        <v>1</v>
      </c>
      <c r="K22" s="153">
        <v>1</v>
      </c>
      <c r="L22" s="157">
        <f t="shared" si="0"/>
        <v>17</v>
      </c>
      <c r="M22" s="161">
        <f t="shared" si="1"/>
        <v>0.68</v>
      </c>
      <c r="N22" s="32" t="s">
        <v>32</v>
      </c>
      <c r="O22" s="19">
        <v>43167</v>
      </c>
      <c r="P22" s="135">
        <v>1</v>
      </c>
      <c r="Q22" s="132">
        <v>2</v>
      </c>
      <c r="R22" s="132">
        <v>0</v>
      </c>
      <c r="S22" s="132">
        <v>1</v>
      </c>
      <c r="T22" s="132">
        <v>2</v>
      </c>
      <c r="U22" s="132">
        <v>5</v>
      </c>
      <c r="V22" s="132">
        <v>0</v>
      </c>
      <c r="W22" s="166">
        <v>6</v>
      </c>
    </row>
    <row r="23" spans="1:23" hidden="1">
      <c r="A23" s="190">
        <v>3077</v>
      </c>
      <c r="B23" s="187" t="s">
        <v>21</v>
      </c>
      <c r="C23" s="187">
        <v>22</v>
      </c>
      <c r="D23" s="187">
        <v>2</v>
      </c>
      <c r="E23" s="187" t="s">
        <v>354</v>
      </c>
      <c r="F23" s="187" t="s">
        <v>357</v>
      </c>
      <c r="G23" s="133">
        <v>43158</v>
      </c>
      <c r="H23" s="133">
        <v>43158</v>
      </c>
      <c r="I23" s="6"/>
      <c r="J23" s="92">
        <v>1</v>
      </c>
      <c r="K23" s="153">
        <v>1</v>
      </c>
      <c r="L23" s="157">
        <f t="shared" si="0"/>
        <v>0</v>
      </c>
      <c r="M23" s="161">
        <f t="shared" si="1"/>
        <v>0</v>
      </c>
      <c r="N23" s="32"/>
      <c r="O23" s="19"/>
      <c r="P23" s="135"/>
      <c r="Q23" s="132"/>
      <c r="R23" s="132"/>
      <c r="S23" s="132"/>
      <c r="T23" s="132"/>
      <c r="U23" s="132"/>
      <c r="V23" s="132"/>
      <c r="W23" s="166"/>
    </row>
    <row r="24" spans="1:23" hidden="1">
      <c r="A24" s="190">
        <v>3078</v>
      </c>
      <c r="B24" s="187" t="s">
        <v>21</v>
      </c>
      <c r="C24" s="187">
        <v>23</v>
      </c>
      <c r="D24" s="187">
        <v>1</v>
      </c>
      <c r="E24" s="187" t="s">
        <v>457</v>
      </c>
      <c r="F24" s="187" t="s">
        <v>359</v>
      </c>
      <c r="G24" s="133">
        <v>43158</v>
      </c>
      <c r="H24" s="133"/>
      <c r="I24" s="6" t="s">
        <v>554</v>
      </c>
      <c r="J24" s="92">
        <v>1</v>
      </c>
      <c r="K24" s="153">
        <v>1</v>
      </c>
      <c r="L24" s="157">
        <f t="shared" si="0"/>
        <v>0</v>
      </c>
      <c r="M24" s="161">
        <f t="shared" si="1"/>
        <v>0</v>
      </c>
      <c r="N24" s="32"/>
      <c r="O24" s="19"/>
      <c r="P24" s="135"/>
      <c r="Q24" s="132"/>
      <c r="R24" s="132"/>
      <c r="S24" s="132"/>
      <c r="T24" s="132"/>
      <c r="U24" s="132"/>
      <c r="V24" s="132"/>
      <c r="W24" s="166"/>
    </row>
    <row r="25" spans="1:23" hidden="1">
      <c r="A25" s="190">
        <v>3079</v>
      </c>
      <c r="B25" s="187" t="s">
        <v>21</v>
      </c>
      <c r="C25" s="187">
        <v>24</v>
      </c>
      <c r="D25" s="187">
        <v>2</v>
      </c>
      <c r="E25" s="187" t="s">
        <v>177</v>
      </c>
      <c r="F25" s="187" t="s">
        <v>43</v>
      </c>
      <c r="G25" s="133">
        <v>43158</v>
      </c>
      <c r="H25" s="133">
        <v>43158</v>
      </c>
      <c r="I25" s="6"/>
      <c r="J25" s="92">
        <v>1</v>
      </c>
      <c r="K25" s="153">
        <v>1</v>
      </c>
      <c r="L25" s="157">
        <f t="shared" si="0"/>
        <v>0</v>
      </c>
      <c r="M25" s="161">
        <f t="shared" si="1"/>
        <v>0</v>
      </c>
      <c r="N25" s="32"/>
      <c r="O25" s="19"/>
      <c r="P25" s="135"/>
      <c r="Q25" s="132"/>
      <c r="R25" s="132"/>
      <c r="S25" s="132"/>
      <c r="T25" s="132"/>
      <c r="U25" s="132"/>
      <c r="V25" s="132"/>
      <c r="W25" s="166"/>
    </row>
    <row r="26" spans="1:23" ht="15" hidden="1" thickBot="1">
      <c r="A26" s="191">
        <v>3080</v>
      </c>
      <c r="B26" s="188" t="s">
        <v>21</v>
      </c>
      <c r="C26" s="188">
        <v>25</v>
      </c>
      <c r="D26" s="188">
        <v>1</v>
      </c>
      <c r="E26" s="188" t="s">
        <v>458</v>
      </c>
      <c r="F26" s="188" t="s">
        <v>360</v>
      </c>
      <c r="G26" s="128">
        <v>43158</v>
      </c>
      <c r="H26" s="128">
        <v>43158</v>
      </c>
      <c r="I26" s="24"/>
      <c r="J26" s="93">
        <v>1</v>
      </c>
      <c r="K26" s="154">
        <v>1</v>
      </c>
      <c r="L26" s="158">
        <f t="shared" si="0"/>
        <v>15</v>
      </c>
      <c r="M26" s="162">
        <f t="shared" si="1"/>
        <v>0.6</v>
      </c>
      <c r="N26" s="51">
        <v>3</v>
      </c>
      <c r="O26" s="25">
        <v>43167</v>
      </c>
      <c r="P26" s="225">
        <v>1</v>
      </c>
      <c r="Q26" s="127">
        <v>1</v>
      </c>
      <c r="R26" s="127">
        <v>0</v>
      </c>
      <c r="S26" s="127">
        <v>0</v>
      </c>
      <c r="T26" s="127">
        <v>2</v>
      </c>
      <c r="U26" s="127">
        <v>5</v>
      </c>
      <c r="V26" s="127">
        <v>0</v>
      </c>
      <c r="W26" s="167">
        <v>6</v>
      </c>
    </row>
    <row r="27" spans="1:23" hidden="1">
      <c r="A27" s="189">
        <v>3081</v>
      </c>
      <c r="B27" s="186" t="s">
        <v>22</v>
      </c>
      <c r="C27" s="186">
        <v>1</v>
      </c>
      <c r="D27" s="186">
        <v>2</v>
      </c>
      <c r="E27" s="186" t="s">
        <v>483</v>
      </c>
      <c r="F27" s="186" t="s">
        <v>361</v>
      </c>
      <c r="G27" s="139">
        <v>43158</v>
      </c>
      <c r="H27" s="139">
        <v>43158</v>
      </c>
      <c r="I27" s="4"/>
      <c r="J27" s="94">
        <v>1</v>
      </c>
      <c r="K27" s="152">
        <v>1</v>
      </c>
      <c r="L27" s="156">
        <f t="shared" si="0"/>
        <v>25</v>
      </c>
      <c r="M27" s="160">
        <f t="shared" si="1"/>
        <v>1</v>
      </c>
      <c r="N27" s="52" t="s">
        <v>36</v>
      </c>
      <c r="O27" s="14">
        <v>43167</v>
      </c>
      <c r="P27" s="226">
        <v>1</v>
      </c>
      <c r="Q27" s="138">
        <v>2</v>
      </c>
      <c r="R27" s="138">
        <v>2</v>
      </c>
      <c r="S27" s="138">
        <v>2</v>
      </c>
      <c r="T27" s="138">
        <v>2</v>
      </c>
      <c r="U27" s="138">
        <v>5</v>
      </c>
      <c r="V27" s="138">
        <v>5</v>
      </c>
      <c r="W27" s="165">
        <v>6</v>
      </c>
    </row>
    <row r="28" spans="1:23" hidden="1">
      <c r="A28" s="190">
        <v>3082</v>
      </c>
      <c r="B28" s="187" t="s">
        <v>22</v>
      </c>
      <c r="C28" s="187">
        <v>2</v>
      </c>
      <c r="D28" s="187">
        <v>2</v>
      </c>
      <c r="E28" s="187" t="s">
        <v>484</v>
      </c>
      <c r="F28" s="187" t="s">
        <v>50</v>
      </c>
      <c r="G28" s="133">
        <v>43158</v>
      </c>
      <c r="H28" s="133">
        <v>43158</v>
      </c>
      <c r="I28" s="6" t="s">
        <v>223</v>
      </c>
      <c r="J28" s="92">
        <v>1</v>
      </c>
      <c r="K28" s="153">
        <v>1</v>
      </c>
      <c r="L28" s="157">
        <f>SUM(P28:W28)</f>
        <v>0</v>
      </c>
      <c r="M28" s="161">
        <f>L28/$L$2</f>
        <v>0</v>
      </c>
      <c r="N28" s="32">
        <v>1</v>
      </c>
      <c r="O28" s="19">
        <v>43167</v>
      </c>
      <c r="P28" s="135"/>
      <c r="Q28" s="132"/>
      <c r="R28" s="132"/>
      <c r="S28" s="132"/>
      <c r="T28" s="132"/>
      <c r="U28" s="132"/>
      <c r="V28" s="132"/>
      <c r="W28" s="166"/>
    </row>
    <row r="29" spans="1:23">
      <c r="A29" s="190">
        <v>3084</v>
      </c>
      <c r="B29" s="187" t="s">
        <v>22</v>
      </c>
      <c r="C29" s="187">
        <v>3</v>
      </c>
      <c r="D29" s="187" t="s">
        <v>549</v>
      </c>
      <c r="E29" s="187" t="s">
        <v>466</v>
      </c>
      <c r="F29" s="187" t="s">
        <v>362</v>
      </c>
      <c r="G29" s="133"/>
      <c r="H29" s="133"/>
      <c r="I29" s="6"/>
      <c r="J29" s="92">
        <v>1</v>
      </c>
      <c r="K29" s="153">
        <v>1</v>
      </c>
      <c r="L29" s="157">
        <f t="shared" si="0"/>
        <v>0</v>
      </c>
      <c r="M29" s="161">
        <f t="shared" si="1"/>
        <v>0</v>
      </c>
      <c r="N29" s="32"/>
      <c r="O29" s="19"/>
      <c r="P29" s="135"/>
      <c r="Q29" s="132"/>
      <c r="R29" s="132"/>
      <c r="S29" s="132"/>
      <c r="T29" s="132"/>
      <c r="U29" s="132"/>
      <c r="V29" s="132"/>
      <c r="W29" s="166"/>
    </row>
    <row r="30" spans="1:23">
      <c r="A30" s="190">
        <v>3173</v>
      </c>
      <c r="B30" s="187" t="s">
        <v>22</v>
      </c>
      <c r="C30" s="187">
        <v>4</v>
      </c>
      <c r="D30" s="187">
        <v>1</v>
      </c>
      <c r="E30" s="187" t="s">
        <v>467</v>
      </c>
      <c r="F30" s="187" t="s">
        <v>363</v>
      </c>
      <c r="G30" s="133"/>
      <c r="H30" s="133"/>
      <c r="I30" s="6"/>
      <c r="J30" s="92">
        <v>1</v>
      </c>
      <c r="K30" s="153">
        <v>1</v>
      </c>
      <c r="L30" s="157">
        <f t="shared" si="0"/>
        <v>0</v>
      </c>
      <c r="M30" s="161">
        <f t="shared" si="1"/>
        <v>0</v>
      </c>
      <c r="N30" s="32"/>
      <c r="O30" s="19"/>
      <c r="P30" s="135"/>
      <c r="Q30" s="132"/>
      <c r="R30" s="132"/>
      <c r="S30" s="132"/>
      <c r="T30" s="132"/>
      <c r="U30" s="132"/>
      <c r="V30" s="132"/>
      <c r="W30" s="166"/>
    </row>
    <row r="31" spans="1:23" hidden="1">
      <c r="A31" s="190">
        <v>3085</v>
      </c>
      <c r="B31" s="187" t="s">
        <v>22</v>
      </c>
      <c r="C31" s="187">
        <v>5</v>
      </c>
      <c r="D31" s="187">
        <v>2</v>
      </c>
      <c r="E31" s="187" t="s">
        <v>485</v>
      </c>
      <c r="F31" s="187" t="s">
        <v>364</v>
      </c>
      <c r="G31" s="133">
        <v>43158</v>
      </c>
      <c r="H31" s="133">
        <v>43158</v>
      </c>
      <c r="I31" s="6"/>
      <c r="J31" s="92">
        <v>1</v>
      </c>
      <c r="K31" s="153">
        <v>1</v>
      </c>
      <c r="L31" s="157">
        <f t="shared" si="0"/>
        <v>19</v>
      </c>
      <c r="M31" s="161">
        <f t="shared" si="1"/>
        <v>0.76</v>
      </c>
      <c r="N31" s="32">
        <v>4</v>
      </c>
      <c r="O31" s="19">
        <v>43167</v>
      </c>
      <c r="P31" s="135">
        <v>1</v>
      </c>
      <c r="Q31" s="132">
        <v>2</v>
      </c>
      <c r="R31" s="132">
        <v>2</v>
      </c>
      <c r="S31" s="132">
        <v>1</v>
      </c>
      <c r="T31" s="132">
        <v>2</v>
      </c>
      <c r="U31" s="132">
        <v>0</v>
      </c>
      <c r="V31" s="132">
        <v>5</v>
      </c>
      <c r="W31" s="166">
        <v>6</v>
      </c>
    </row>
    <row r="32" spans="1:23">
      <c r="A32" s="190">
        <v>3182</v>
      </c>
      <c r="B32" s="187" t="s">
        <v>22</v>
      </c>
      <c r="C32" s="187">
        <v>6</v>
      </c>
      <c r="D32" s="187">
        <v>1</v>
      </c>
      <c r="E32" s="187" t="s">
        <v>468</v>
      </c>
      <c r="F32" s="187" t="s">
        <v>365</v>
      </c>
      <c r="G32" s="133"/>
      <c r="H32" s="133"/>
      <c r="I32" s="6" t="s">
        <v>555</v>
      </c>
      <c r="J32" s="92">
        <v>1</v>
      </c>
      <c r="K32" s="153">
        <v>1</v>
      </c>
      <c r="L32" s="157">
        <f t="shared" si="0"/>
        <v>0</v>
      </c>
      <c r="M32" s="161">
        <f t="shared" si="1"/>
        <v>0</v>
      </c>
      <c r="N32" s="32"/>
      <c r="O32" s="19"/>
      <c r="P32" s="135"/>
      <c r="Q32" s="132"/>
      <c r="R32" s="132"/>
      <c r="S32" s="132"/>
      <c r="T32" s="132"/>
      <c r="U32" s="132"/>
      <c r="V32" s="132"/>
      <c r="W32" s="166"/>
    </row>
    <row r="33" spans="1:23">
      <c r="A33" s="190">
        <v>3086</v>
      </c>
      <c r="B33" s="187" t="s">
        <v>22</v>
      </c>
      <c r="C33" s="187">
        <v>7</v>
      </c>
      <c r="D33" s="187">
        <v>1</v>
      </c>
      <c r="E33" s="187" t="s">
        <v>469</v>
      </c>
      <c r="F33" s="187" t="s">
        <v>366</v>
      </c>
      <c r="G33" s="133">
        <v>43178</v>
      </c>
      <c r="H33" s="133">
        <v>43178</v>
      </c>
      <c r="I33" s="6"/>
      <c r="J33" s="92">
        <v>1</v>
      </c>
      <c r="K33" s="153">
        <v>1</v>
      </c>
      <c r="L33" s="157">
        <f>SUM(P33:W33)</f>
        <v>22</v>
      </c>
      <c r="M33" s="161">
        <f>L33/$L$2</f>
        <v>0.88</v>
      </c>
      <c r="N33" s="32" t="s">
        <v>33</v>
      </c>
      <c r="O33" s="19">
        <v>43194</v>
      </c>
      <c r="P33" s="135">
        <v>1</v>
      </c>
      <c r="Q33" s="132">
        <v>2</v>
      </c>
      <c r="R33" s="132">
        <v>2</v>
      </c>
      <c r="S33" s="132">
        <v>0</v>
      </c>
      <c r="T33" s="132">
        <v>1</v>
      </c>
      <c r="U33" s="132">
        <v>5</v>
      </c>
      <c r="V33" s="132">
        <v>5</v>
      </c>
      <c r="W33" s="166">
        <v>6</v>
      </c>
    </row>
    <row r="34" spans="1:23" hidden="1">
      <c r="A34" s="190">
        <v>3087</v>
      </c>
      <c r="B34" s="187" t="s">
        <v>22</v>
      </c>
      <c r="C34" s="187">
        <v>8</v>
      </c>
      <c r="D34" s="187">
        <v>2</v>
      </c>
      <c r="E34" s="187" t="s">
        <v>486</v>
      </c>
      <c r="F34" s="187" t="s">
        <v>367</v>
      </c>
      <c r="G34" s="133">
        <v>43158</v>
      </c>
      <c r="H34" s="133">
        <v>43158</v>
      </c>
      <c r="I34" s="172"/>
      <c r="J34" s="92">
        <v>1</v>
      </c>
      <c r="K34" s="153">
        <v>1</v>
      </c>
      <c r="L34" s="157">
        <f t="shared" si="0"/>
        <v>19</v>
      </c>
      <c r="M34" s="161">
        <f t="shared" si="1"/>
        <v>0.76</v>
      </c>
      <c r="N34" s="32">
        <v>4</v>
      </c>
      <c r="O34" s="19">
        <v>43167</v>
      </c>
      <c r="P34" s="135">
        <v>1</v>
      </c>
      <c r="Q34" s="132">
        <v>2</v>
      </c>
      <c r="R34" s="132">
        <v>2</v>
      </c>
      <c r="S34" s="132">
        <v>1</v>
      </c>
      <c r="T34" s="132">
        <v>2</v>
      </c>
      <c r="U34" s="132">
        <v>0</v>
      </c>
      <c r="V34" s="132">
        <v>5</v>
      </c>
      <c r="W34" s="166">
        <v>6</v>
      </c>
    </row>
    <row r="35" spans="1:23">
      <c r="A35" s="190">
        <v>3088</v>
      </c>
      <c r="B35" s="187" t="s">
        <v>22</v>
      </c>
      <c r="C35" s="187">
        <v>9</v>
      </c>
      <c r="D35" s="187">
        <v>1</v>
      </c>
      <c r="E35" s="187" t="s">
        <v>470</v>
      </c>
      <c r="F35" s="187" t="s">
        <v>368</v>
      </c>
      <c r="G35" s="133">
        <v>43178</v>
      </c>
      <c r="H35" s="133">
        <v>43178</v>
      </c>
      <c r="I35" s="6"/>
      <c r="J35" s="92">
        <v>1</v>
      </c>
      <c r="K35" s="153">
        <v>1</v>
      </c>
      <c r="L35" s="157">
        <f t="shared" si="0"/>
        <v>25</v>
      </c>
      <c r="M35" s="161">
        <f t="shared" si="1"/>
        <v>1</v>
      </c>
      <c r="N35" s="32" t="s">
        <v>36</v>
      </c>
      <c r="O35" s="19">
        <v>43194</v>
      </c>
      <c r="P35" s="135">
        <v>1</v>
      </c>
      <c r="Q35" s="132">
        <v>2</v>
      </c>
      <c r="R35" s="132">
        <v>2</v>
      </c>
      <c r="S35" s="132">
        <v>2</v>
      </c>
      <c r="T35" s="132">
        <v>2</v>
      </c>
      <c r="U35" s="132">
        <v>5</v>
      </c>
      <c r="V35" s="132">
        <v>5</v>
      </c>
      <c r="W35" s="166">
        <v>6</v>
      </c>
    </row>
    <row r="36" spans="1:23">
      <c r="A36" s="190">
        <v>3186</v>
      </c>
      <c r="B36" s="187" t="s">
        <v>22</v>
      </c>
      <c r="C36" s="187">
        <v>10</v>
      </c>
      <c r="D36" s="187">
        <v>1</v>
      </c>
      <c r="E36" s="187" t="s">
        <v>471</v>
      </c>
      <c r="F36" s="187" t="s">
        <v>369</v>
      </c>
      <c r="G36" s="133"/>
      <c r="H36" s="133"/>
      <c r="I36" s="6"/>
      <c r="J36" s="92">
        <v>1</v>
      </c>
      <c r="K36" s="153">
        <v>1</v>
      </c>
      <c r="L36" s="157">
        <f>SUM(P36:W36)</f>
        <v>0</v>
      </c>
      <c r="M36" s="161">
        <f>L36/$L$2</f>
        <v>0</v>
      </c>
      <c r="N36" s="32"/>
      <c r="O36" s="19"/>
      <c r="P36" s="135"/>
      <c r="Q36" s="132"/>
      <c r="R36" s="132"/>
      <c r="S36" s="132"/>
      <c r="T36" s="132"/>
      <c r="U36" s="132"/>
      <c r="V36" s="132"/>
      <c r="W36" s="166"/>
    </row>
    <row r="37" spans="1:23">
      <c r="A37" s="190">
        <v>3089</v>
      </c>
      <c r="B37" s="187" t="s">
        <v>22</v>
      </c>
      <c r="C37" s="187">
        <v>11</v>
      </c>
      <c r="D37" s="187">
        <v>1</v>
      </c>
      <c r="E37" s="187" t="s">
        <v>472</v>
      </c>
      <c r="F37" s="187" t="s">
        <v>370</v>
      </c>
      <c r="G37" s="133">
        <v>43178</v>
      </c>
      <c r="H37" s="133">
        <v>43178</v>
      </c>
      <c r="I37" s="6"/>
      <c r="J37" s="92">
        <v>1</v>
      </c>
      <c r="K37" s="153">
        <v>1</v>
      </c>
      <c r="L37" s="157">
        <f t="shared" si="0"/>
        <v>24</v>
      </c>
      <c r="M37" s="161">
        <f t="shared" si="1"/>
        <v>0.96</v>
      </c>
      <c r="N37" s="32">
        <v>5</v>
      </c>
      <c r="O37" s="19">
        <v>43194</v>
      </c>
      <c r="P37" s="135">
        <v>0</v>
      </c>
      <c r="Q37" s="132">
        <v>2</v>
      </c>
      <c r="R37" s="132">
        <v>2</v>
      </c>
      <c r="S37" s="132">
        <v>2</v>
      </c>
      <c r="T37" s="132">
        <v>2</v>
      </c>
      <c r="U37" s="132">
        <v>5</v>
      </c>
      <c r="V37" s="132">
        <v>5</v>
      </c>
      <c r="W37" s="166">
        <v>6</v>
      </c>
    </row>
    <row r="38" spans="1:23" hidden="1">
      <c r="A38" s="190">
        <v>3090</v>
      </c>
      <c r="B38" s="187" t="s">
        <v>22</v>
      </c>
      <c r="C38" s="187">
        <v>12</v>
      </c>
      <c r="D38" s="187">
        <v>2</v>
      </c>
      <c r="E38" s="187" t="s">
        <v>487</v>
      </c>
      <c r="F38" s="187" t="s">
        <v>371</v>
      </c>
      <c r="G38" s="133">
        <v>43158</v>
      </c>
      <c r="H38" s="133">
        <v>43158</v>
      </c>
      <c r="I38" s="6"/>
      <c r="J38" s="92">
        <v>1</v>
      </c>
      <c r="K38" s="153">
        <v>1</v>
      </c>
      <c r="L38" s="157">
        <f t="shared" si="0"/>
        <v>25</v>
      </c>
      <c r="M38" s="161">
        <f t="shared" si="1"/>
        <v>1</v>
      </c>
      <c r="N38" s="32" t="s">
        <v>36</v>
      </c>
      <c r="O38" s="19">
        <v>43167</v>
      </c>
      <c r="P38" s="135">
        <v>1</v>
      </c>
      <c r="Q38" s="132">
        <v>2</v>
      </c>
      <c r="R38" s="132">
        <v>2</v>
      </c>
      <c r="S38" s="132">
        <v>2</v>
      </c>
      <c r="T38" s="132">
        <v>2</v>
      </c>
      <c r="U38" s="132">
        <v>5</v>
      </c>
      <c r="V38" s="132">
        <v>5</v>
      </c>
      <c r="W38" s="166">
        <v>6</v>
      </c>
    </row>
    <row r="39" spans="1:23" hidden="1">
      <c r="A39" s="190">
        <v>3120</v>
      </c>
      <c r="B39" s="187" t="s">
        <v>22</v>
      </c>
      <c r="C39" s="187">
        <v>13</v>
      </c>
      <c r="D39" s="187">
        <v>2</v>
      </c>
      <c r="E39" s="187" t="s">
        <v>494</v>
      </c>
      <c r="F39" s="187" t="s">
        <v>372</v>
      </c>
      <c r="G39" s="133">
        <v>43158</v>
      </c>
      <c r="H39" s="133">
        <v>43158</v>
      </c>
      <c r="I39" s="6"/>
      <c r="J39" s="92">
        <v>1</v>
      </c>
      <c r="K39" s="153">
        <v>1</v>
      </c>
      <c r="L39" s="157">
        <f t="shared" si="0"/>
        <v>25</v>
      </c>
      <c r="M39" s="161">
        <f t="shared" si="1"/>
        <v>1</v>
      </c>
      <c r="N39" s="32" t="s">
        <v>36</v>
      </c>
      <c r="O39" s="19">
        <v>43167</v>
      </c>
      <c r="P39" s="135">
        <v>1</v>
      </c>
      <c r="Q39" s="132">
        <v>2</v>
      </c>
      <c r="R39" s="132">
        <v>2</v>
      </c>
      <c r="S39" s="132">
        <v>2</v>
      </c>
      <c r="T39" s="132">
        <v>2</v>
      </c>
      <c r="U39" s="132">
        <v>5</v>
      </c>
      <c r="V39" s="132">
        <v>5</v>
      </c>
      <c r="W39" s="166">
        <v>6</v>
      </c>
    </row>
    <row r="40" spans="1:23" hidden="1">
      <c r="A40" s="190">
        <v>3091</v>
      </c>
      <c r="B40" s="187" t="s">
        <v>22</v>
      </c>
      <c r="C40" s="187">
        <v>14</v>
      </c>
      <c r="D40" s="187">
        <v>2</v>
      </c>
      <c r="E40" s="187" t="s">
        <v>488</v>
      </c>
      <c r="F40" s="187" t="s">
        <v>373</v>
      </c>
      <c r="G40" s="133">
        <v>43158</v>
      </c>
      <c r="H40" s="133">
        <v>43158</v>
      </c>
      <c r="I40" s="6"/>
      <c r="J40" s="92">
        <v>1</v>
      </c>
      <c r="K40" s="153">
        <v>1</v>
      </c>
      <c r="L40" s="157">
        <f t="shared" si="0"/>
        <v>21</v>
      </c>
      <c r="M40" s="161">
        <f t="shared" si="1"/>
        <v>0.84</v>
      </c>
      <c r="N40" s="32" t="s">
        <v>34</v>
      </c>
      <c r="O40" s="19">
        <v>43167</v>
      </c>
      <c r="P40" s="135">
        <v>1</v>
      </c>
      <c r="Q40" s="132">
        <v>2</v>
      </c>
      <c r="R40" s="132">
        <v>2</v>
      </c>
      <c r="S40" s="132">
        <v>2</v>
      </c>
      <c r="T40" s="132">
        <v>2</v>
      </c>
      <c r="U40" s="132">
        <v>5</v>
      </c>
      <c r="V40" s="132">
        <v>1</v>
      </c>
      <c r="W40" s="166">
        <v>6</v>
      </c>
    </row>
    <row r="41" spans="1:23">
      <c r="A41" s="190">
        <v>3179</v>
      </c>
      <c r="B41" s="187" t="s">
        <v>22</v>
      </c>
      <c r="C41" s="187">
        <v>15</v>
      </c>
      <c r="D41" s="187">
        <v>1</v>
      </c>
      <c r="E41" s="187" t="s">
        <v>473</v>
      </c>
      <c r="F41" s="187" t="s">
        <v>374</v>
      </c>
      <c r="G41" s="133">
        <v>43178</v>
      </c>
      <c r="H41" s="133">
        <v>43178</v>
      </c>
      <c r="I41" s="19"/>
      <c r="J41" s="92">
        <v>1</v>
      </c>
      <c r="K41" s="153">
        <v>1</v>
      </c>
      <c r="L41" s="157">
        <f t="shared" si="0"/>
        <v>20</v>
      </c>
      <c r="M41" s="161">
        <f t="shared" si="1"/>
        <v>0.8</v>
      </c>
      <c r="N41" s="32">
        <v>4</v>
      </c>
      <c r="O41" s="19">
        <v>43194</v>
      </c>
      <c r="P41" s="135">
        <v>1</v>
      </c>
      <c r="Q41" s="132">
        <v>2</v>
      </c>
      <c r="R41" s="132">
        <v>2</v>
      </c>
      <c r="S41" s="132">
        <v>2</v>
      </c>
      <c r="T41" s="132">
        <v>2</v>
      </c>
      <c r="U41" s="132">
        <v>5</v>
      </c>
      <c r="V41" s="132">
        <v>0</v>
      </c>
      <c r="W41" s="166">
        <v>6</v>
      </c>
    </row>
    <row r="42" spans="1:23">
      <c r="A42" s="190">
        <v>3092</v>
      </c>
      <c r="B42" s="187" t="s">
        <v>22</v>
      </c>
      <c r="C42" s="187">
        <v>16</v>
      </c>
      <c r="D42" s="187">
        <v>1</v>
      </c>
      <c r="E42" s="187" t="s">
        <v>474</v>
      </c>
      <c r="F42" s="187" t="s">
        <v>375</v>
      </c>
      <c r="G42" s="133">
        <v>43178</v>
      </c>
      <c r="H42" s="133">
        <v>43178</v>
      </c>
      <c r="I42" s="19"/>
      <c r="J42" s="92">
        <v>1</v>
      </c>
      <c r="K42" s="153">
        <v>1</v>
      </c>
      <c r="L42" s="157">
        <f t="shared" si="0"/>
        <v>25</v>
      </c>
      <c r="M42" s="161">
        <f t="shared" si="1"/>
        <v>1</v>
      </c>
      <c r="N42" s="32" t="s">
        <v>36</v>
      </c>
      <c r="O42" s="19">
        <v>43194</v>
      </c>
      <c r="P42" s="135">
        <v>1</v>
      </c>
      <c r="Q42" s="132">
        <v>2</v>
      </c>
      <c r="R42" s="132">
        <v>2</v>
      </c>
      <c r="S42" s="132">
        <v>2</v>
      </c>
      <c r="T42" s="132">
        <v>2</v>
      </c>
      <c r="U42" s="132">
        <v>5</v>
      </c>
      <c r="V42" s="132">
        <v>5</v>
      </c>
      <c r="W42" s="166">
        <v>6</v>
      </c>
    </row>
    <row r="43" spans="1:23" hidden="1">
      <c r="A43" s="190">
        <v>3093</v>
      </c>
      <c r="B43" s="187" t="s">
        <v>22</v>
      </c>
      <c r="C43" s="187">
        <v>17</v>
      </c>
      <c r="D43" s="187">
        <v>2</v>
      </c>
      <c r="E43" s="187" t="s">
        <v>82</v>
      </c>
      <c r="F43" s="187" t="s">
        <v>376</v>
      </c>
      <c r="G43" s="133">
        <v>43158</v>
      </c>
      <c r="H43" s="133">
        <v>43158</v>
      </c>
      <c r="I43" s="19"/>
      <c r="J43" s="92">
        <v>1</v>
      </c>
      <c r="K43" s="153">
        <v>1</v>
      </c>
      <c r="L43" s="157">
        <f t="shared" si="0"/>
        <v>20</v>
      </c>
      <c r="M43" s="161">
        <f t="shared" si="1"/>
        <v>0.8</v>
      </c>
      <c r="N43" s="32">
        <v>4</v>
      </c>
      <c r="O43" s="19">
        <v>43167</v>
      </c>
      <c r="P43" s="135">
        <v>1</v>
      </c>
      <c r="Q43" s="132">
        <v>2</v>
      </c>
      <c r="R43" s="132">
        <v>2</v>
      </c>
      <c r="S43" s="132">
        <v>2</v>
      </c>
      <c r="T43" s="132">
        <v>2</v>
      </c>
      <c r="U43" s="132">
        <v>0</v>
      </c>
      <c r="V43" s="132">
        <v>5</v>
      </c>
      <c r="W43" s="166">
        <v>6</v>
      </c>
    </row>
    <row r="44" spans="1:23">
      <c r="A44" s="190">
        <v>3094</v>
      </c>
      <c r="B44" s="187" t="s">
        <v>22</v>
      </c>
      <c r="C44" s="187">
        <v>18</v>
      </c>
      <c r="D44" s="187">
        <v>1</v>
      </c>
      <c r="E44" s="187" t="s">
        <v>489</v>
      </c>
      <c r="F44" s="187" t="s">
        <v>377</v>
      </c>
      <c r="G44" s="133">
        <v>43178</v>
      </c>
      <c r="H44" s="133">
        <v>43178</v>
      </c>
      <c r="I44" s="19"/>
      <c r="J44" s="92">
        <v>1</v>
      </c>
      <c r="K44" s="153">
        <v>1</v>
      </c>
      <c r="L44" s="157">
        <f t="shared" si="0"/>
        <v>22</v>
      </c>
      <c r="M44" s="161">
        <f t="shared" si="1"/>
        <v>0.88</v>
      </c>
      <c r="N44" s="32" t="s">
        <v>33</v>
      </c>
      <c r="O44" s="19">
        <v>43194</v>
      </c>
      <c r="P44" s="135">
        <v>1</v>
      </c>
      <c r="Q44" s="132">
        <v>2</v>
      </c>
      <c r="R44" s="132">
        <v>2</v>
      </c>
      <c r="S44" s="132">
        <v>0</v>
      </c>
      <c r="T44" s="132">
        <v>1</v>
      </c>
      <c r="U44" s="132">
        <v>5</v>
      </c>
      <c r="V44" s="132">
        <v>5</v>
      </c>
      <c r="W44" s="166">
        <v>6</v>
      </c>
    </row>
    <row r="45" spans="1:23">
      <c r="A45" s="190">
        <v>3095</v>
      </c>
      <c r="B45" s="187" t="s">
        <v>22</v>
      </c>
      <c r="C45" s="187">
        <v>19</v>
      </c>
      <c r="D45" s="187">
        <v>1</v>
      </c>
      <c r="E45" s="187" t="s">
        <v>475</v>
      </c>
      <c r="F45" s="187" t="s">
        <v>378</v>
      </c>
      <c r="G45" s="133">
        <v>43178</v>
      </c>
      <c r="H45" s="133">
        <v>43178</v>
      </c>
      <c r="I45" s="19"/>
      <c r="J45" s="92">
        <v>1</v>
      </c>
      <c r="K45" s="153">
        <v>1</v>
      </c>
      <c r="L45" s="157">
        <f t="shared" si="0"/>
        <v>25</v>
      </c>
      <c r="M45" s="161">
        <f t="shared" si="1"/>
        <v>1</v>
      </c>
      <c r="N45" s="32" t="s">
        <v>36</v>
      </c>
      <c r="O45" s="19">
        <v>43194</v>
      </c>
      <c r="P45" s="135">
        <v>1</v>
      </c>
      <c r="Q45" s="132">
        <v>2</v>
      </c>
      <c r="R45" s="132">
        <v>2</v>
      </c>
      <c r="S45" s="132">
        <v>2</v>
      </c>
      <c r="T45" s="132">
        <v>2</v>
      </c>
      <c r="U45" s="132">
        <v>5</v>
      </c>
      <c r="V45" s="132">
        <v>5</v>
      </c>
      <c r="W45" s="166">
        <v>6</v>
      </c>
    </row>
    <row r="46" spans="1:23" hidden="1">
      <c r="A46" s="190">
        <v>3096</v>
      </c>
      <c r="B46" s="187" t="s">
        <v>22</v>
      </c>
      <c r="C46" s="187">
        <v>20</v>
      </c>
      <c r="D46" s="187">
        <v>2</v>
      </c>
      <c r="E46" s="187" t="s">
        <v>379</v>
      </c>
      <c r="F46" s="187" t="s">
        <v>380</v>
      </c>
      <c r="G46" s="133">
        <v>43158</v>
      </c>
      <c r="H46" s="133"/>
      <c r="I46" s="19" t="s">
        <v>554</v>
      </c>
      <c r="J46" s="92">
        <v>1</v>
      </c>
      <c r="K46" s="153">
        <v>1</v>
      </c>
      <c r="L46" s="157">
        <f t="shared" si="0"/>
        <v>0</v>
      </c>
      <c r="M46" s="161">
        <f t="shared" si="1"/>
        <v>0</v>
      </c>
      <c r="N46" s="32"/>
      <c r="O46" s="19"/>
      <c r="P46" s="135"/>
      <c r="Q46" s="132"/>
      <c r="R46" s="132"/>
      <c r="S46" s="132"/>
      <c r="T46" s="132"/>
      <c r="U46" s="132"/>
      <c r="V46" s="132"/>
      <c r="W46" s="166"/>
    </row>
    <row r="47" spans="1:23" hidden="1">
      <c r="A47" s="190">
        <v>3193</v>
      </c>
      <c r="B47" s="187" t="s">
        <v>22</v>
      </c>
      <c r="C47" s="187">
        <v>21</v>
      </c>
      <c r="D47" s="187" t="s">
        <v>450</v>
      </c>
      <c r="E47" s="187" t="s">
        <v>11</v>
      </c>
      <c r="F47" s="187" t="s">
        <v>406</v>
      </c>
      <c r="G47" s="133">
        <v>43158</v>
      </c>
      <c r="H47" s="133">
        <v>43158</v>
      </c>
      <c r="I47" s="19"/>
      <c r="J47" s="92">
        <v>1</v>
      </c>
      <c r="K47" s="153">
        <v>1</v>
      </c>
      <c r="L47" s="157">
        <f t="shared" si="0"/>
        <v>0</v>
      </c>
      <c r="M47" s="161">
        <f t="shared" si="1"/>
        <v>0</v>
      </c>
      <c r="N47" s="32"/>
      <c r="O47" s="19"/>
      <c r="P47" s="135"/>
      <c r="Q47" s="132"/>
      <c r="R47" s="132"/>
      <c r="S47" s="132"/>
      <c r="T47" s="132"/>
      <c r="U47" s="132"/>
      <c r="V47" s="132"/>
      <c r="W47" s="166"/>
    </row>
    <row r="48" spans="1:23" hidden="1">
      <c r="A48" s="190">
        <v>3097</v>
      </c>
      <c r="B48" s="187" t="s">
        <v>22</v>
      </c>
      <c r="C48" s="187">
        <v>22</v>
      </c>
      <c r="D48" s="187">
        <v>2</v>
      </c>
      <c r="E48" s="187" t="s">
        <v>0</v>
      </c>
      <c r="F48" s="187" t="s">
        <v>381</v>
      </c>
      <c r="G48" s="133">
        <v>43158</v>
      </c>
      <c r="H48" s="133">
        <v>43158</v>
      </c>
      <c r="I48" s="19"/>
      <c r="J48" s="92">
        <v>1</v>
      </c>
      <c r="K48" s="153">
        <v>1</v>
      </c>
      <c r="L48" s="157">
        <f t="shared" si="0"/>
        <v>25</v>
      </c>
      <c r="M48" s="161">
        <f t="shared" si="1"/>
        <v>1</v>
      </c>
      <c r="N48" s="32" t="s">
        <v>36</v>
      </c>
      <c r="O48" s="19">
        <v>43167</v>
      </c>
      <c r="P48" s="135">
        <v>1</v>
      </c>
      <c r="Q48" s="132">
        <v>2</v>
      </c>
      <c r="R48" s="132">
        <v>2</v>
      </c>
      <c r="S48" s="132">
        <v>2</v>
      </c>
      <c r="T48" s="132">
        <v>2</v>
      </c>
      <c r="U48" s="132">
        <v>5</v>
      </c>
      <c r="V48" s="132">
        <v>5</v>
      </c>
      <c r="W48" s="166">
        <v>6</v>
      </c>
    </row>
    <row r="49" spans="1:23" hidden="1">
      <c r="A49" s="190">
        <v>3099</v>
      </c>
      <c r="B49" s="187" t="s">
        <v>22</v>
      </c>
      <c r="C49" s="187">
        <v>23</v>
      </c>
      <c r="D49" s="187">
        <v>2</v>
      </c>
      <c r="E49" s="187" t="s">
        <v>490</v>
      </c>
      <c r="F49" s="187" t="s">
        <v>382</v>
      </c>
      <c r="G49" s="133">
        <v>43158</v>
      </c>
      <c r="H49" s="133">
        <v>43158</v>
      </c>
      <c r="I49" s="19"/>
      <c r="J49" s="92">
        <v>1</v>
      </c>
      <c r="K49" s="153">
        <v>1</v>
      </c>
      <c r="L49" s="157">
        <f t="shared" si="0"/>
        <v>25</v>
      </c>
      <c r="M49" s="161">
        <f t="shared" si="1"/>
        <v>1</v>
      </c>
      <c r="N49" s="32" t="s">
        <v>36</v>
      </c>
      <c r="O49" s="133">
        <v>43167</v>
      </c>
      <c r="P49" s="132">
        <v>1</v>
      </c>
      <c r="Q49" s="132">
        <v>2</v>
      </c>
      <c r="R49" s="132">
        <v>2</v>
      </c>
      <c r="S49" s="132">
        <v>2</v>
      </c>
      <c r="T49" s="132">
        <v>2</v>
      </c>
      <c r="U49" s="132">
        <v>5</v>
      </c>
      <c r="V49" s="132">
        <v>5</v>
      </c>
      <c r="W49" s="166">
        <v>6</v>
      </c>
    </row>
    <row r="50" spans="1:23">
      <c r="A50" s="190">
        <v>3184</v>
      </c>
      <c r="B50" s="187" t="s">
        <v>22</v>
      </c>
      <c r="C50" s="187">
        <v>24</v>
      </c>
      <c r="D50" s="187">
        <v>1</v>
      </c>
      <c r="E50" s="187" t="s">
        <v>476</v>
      </c>
      <c r="F50" s="187" t="s">
        <v>383</v>
      </c>
      <c r="G50" s="133">
        <v>43178</v>
      </c>
      <c r="H50" s="133">
        <v>43178</v>
      </c>
      <c r="I50" s="19"/>
      <c r="J50" s="92">
        <v>1</v>
      </c>
      <c r="K50" s="153">
        <v>1</v>
      </c>
      <c r="L50" s="157">
        <f t="shared" si="0"/>
        <v>25</v>
      </c>
      <c r="M50" s="161">
        <f t="shared" si="1"/>
        <v>1</v>
      </c>
      <c r="N50" s="32" t="s">
        <v>36</v>
      </c>
      <c r="O50" s="133">
        <v>43194</v>
      </c>
      <c r="P50" s="132">
        <v>1</v>
      </c>
      <c r="Q50" s="132">
        <v>2</v>
      </c>
      <c r="R50" s="132">
        <v>2</v>
      </c>
      <c r="S50" s="132">
        <v>2</v>
      </c>
      <c r="T50" s="132">
        <v>2</v>
      </c>
      <c r="U50" s="132">
        <v>5</v>
      </c>
      <c r="V50" s="132">
        <v>5</v>
      </c>
      <c r="W50" s="166">
        <v>6</v>
      </c>
    </row>
    <row r="51" spans="1:23" hidden="1">
      <c r="A51" s="190">
        <v>3100</v>
      </c>
      <c r="B51" s="187" t="s">
        <v>22</v>
      </c>
      <c r="C51" s="187">
        <v>25</v>
      </c>
      <c r="D51" s="187">
        <v>2</v>
      </c>
      <c r="E51" s="187" t="s">
        <v>491</v>
      </c>
      <c r="F51" s="187" t="s">
        <v>52</v>
      </c>
      <c r="G51" s="133">
        <v>43158</v>
      </c>
      <c r="H51" s="133">
        <v>43158</v>
      </c>
      <c r="I51" s="19"/>
      <c r="J51" s="92">
        <v>1</v>
      </c>
      <c r="K51" s="153">
        <v>1</v>
      </c>
      <c r="L51" s="157">
        <f t="shared" si="0"/>
        <v>25</v>
      </c>
      <c r="M51" s="161">
        <f t="shared" si="1"/>
        <v>1</v>
      </c>
      <c r="N51" s="32" t="s">
        <v>36</v>
      </c>
      <c r="O51" s="19">
        <v>43167</v>
      </c>
      <c r="P51" s="135">
        <v>1</v>
      </c>
      <c r="Q51" s="132">
        <v>2</v>
      </c>
      <c r="R51" s="132">
        <v>2</v>
      </c>
      <c r="S51" s="132">
        <v>2</v>
      </c>
      <c r="T51" s="132">
        <v>2</v>
      </c>
      <c r="U51" s="132">
        <v>5</v>
      </c>
      <c r="V51" s="132">
        <v>5</v>
      </c>
      <c r="W51" s="166">
        <v>6</v>
      </c>
    </row>
    <row r="52" spans="1:23" hidden="1">
      <c r="A52" s="190">
        <v>3101</v>
      </c>
      <c r="B52" s="187" t="s">
        <v>22</v>
      </c>
      <c r="C52" s="187">
        <v>26</v>
      </c>
      <c r="D52" s="187">
        <v>2</v>
      </c>
      <c r="E52" s="187" t="s">
        <v>492</v>
      </c>
      <c r="F52" s="187" t="s">
        <v>384</v>
      </c>
      <c r="G52" s="133">
        <v>43158</v>
      </c>
      <c r="H52" s="133">
        <v>43158</v>
      </c>
      <c r="I52" s="19"/>
      <c r="J52" s="92">
        <v>1</v>
      </c>
      <c r="K52" s="153">
        <v>1</v>
      </c>
      <c r="L52" s="157">
        <f t="shared" si="0"/>
        <v>17</v>
      </c>
      <c r="M52" s="161">
        <f t="shared" si="1"/>
        <v>0.68</v>
      </c>
      <c r="N52" s="32" t="s">
        <v>32</v>
      </c>
      <c r="O52" s="19">
        <v>43167</v>
      </c>
      <c r="P52" s="135">
        <v>1</v>
      </c>
      <c r="Q52" s="132">
        <v>2</v>
      </c>
      <c r="R52" s="132">
        <v>1</v>
      </c>
      <c r="S52" s="132">
        <v>0</v>
      </c>
      <c r="T52" s="132">
        <v>2</v>
      </c>
      <c r="U52" s="132">
        <v>5</v>
      </c>
      <c r="V52" s="132">
        <v>0</v>
      </c>
      <c r="W52" s="166">
        <v>6</v>
      </c>
    </row>
    <row r="53" spans="1:23">
      <c r="A53" s="190">
        <v>3133</v>
      </c>
      <c r="B53" s="187" t="s">
        <v>22</v>
      </c>
      <c r="C53" s="187">
        <v>28</v>
      </c>
      <c r="D53" s="187">
        <v>1</v>
      </c>
      <c r="E53" s="187" t="s">
        <v>482</v>
      </c>
      <c r="F53" s="187" t="s">
        <v>147</v>
      </c>
      <c r="G53" s="133"/>
      <c r="H53" s="133"/>
      <c r="I53" s="19"/>
      <c r="J53" s="92">
        <v>1</v>
      </c>
      <c r="K53" s="153">
        <v>1</v>
      </c>
      <c r="L53" s="157">
        <f t="shared" si="0"/>
        <v>0</v>
      </c>
      <c r="M53" s="161">
        <f t="shared" si="1"/>
        <v>0</v>
      </c>
      <c r="N53" s="32"/>
      <c r="O53" s="19"/>
      <c r="P53" s="135"/>
      <c r="Q53" s="132"/>
      <c r="R53" s="132"/>
      <c r="S53" s="132"/>
      <c r="T53" s="132"/>
      <c r="U53" s="132"/>
      <c r="V53" s="132"/>
      <c r="W53" s="166"/>
    </row>
    <row r="54" spans="1:23">
      <c r="A54" s="190">
        <v>3103</v>
      </c>
      <c r="B54" s="187" t="s">
        <v>22</v>
      </c>
      <c r="C54" s="187">
        <v>29</v>
      </c>
      <c r="D54" s="187">
        <v>1</v>
      </c>
      <c r="E54" s="187" t="s">
        <v>477</v>
      </c>
      <c r="F54" s="187" t="s">
        <v>386</v>
      </c>
      <c r="G54" s="133">
        <v>43178</v>
      </c>
      <c r="H54" s="133">
        <v>43178</v>
      </c>
      <c r="I54" s="19"/>
      <c r="J54" s="92">
        <v>1</v>
      </c>
      <c r="K54" s="153">
        <v>1</v>
      </c>
      <c r="L54" s="157">
        <f t="shared" si="0"/>
        <v>20</v>
      </c>
      <c r="M54" s="161">
        <f t="shared" si="1"/>
        <v>0.8</v>
      </c>
      <c r="N54" s="32">
        <v>4</v>
      </c>
      <c r="O54" s="19">
        <v>43194</v>
      </c>
      <c r="P54" s="135">
        <v>1</v>
      </c>
      <c r="Q54" s="132">
        <v>2</v>
      </c>
      <c r="R54" s="132">
        <v>2</v>
      </c>
      <c r="S54" s="132">
        <v>2</v>
      </c>
      <c r="T54" s="132">
        <v>2</v>
      </c>
      <c r="U54" s="132">
        <v>5</v>
      </c>
      <c r="V54" s="132">
        <v>0</v>
      </c>
      <c r="W54" s="166">
        <v>6</v>
      </c>
    </row>
    <row r="55" spans="1:23">
      <c r="A55" s="190">
        <v>3104</v>
      </c>
      <c r="B55" s="187" t="s">
        <v>22</v>
      </c>
      <c r="C55" s="187">
        <v>30</v>
      </c>
      <c r="D55" s="187">
        <v>1</v>
      </c>
      <c r="E55" s="187" t="s">
        <v>478</v>
      </c>
      <c r="F55" s="187" t="s">
        <v>387</v>
      </c>
      <c r="G55" s="133"/>
      <c r="H55" s="133"/>
      <c r="I55" s="19"/>
      <c r="J55" s="92">
        <v>1</v>
      </c>
      <c r="K55" s="153">
        <v>1</v>
      </c>
      <c r="L55" s="157">
        <f t="shared" si="0"/>
        <v>0</v>
      </c>
      <c r="M55" s="161">
        <f t="shared" si="1"/>
        <v>0</v>
      </c>
      <c r="N55" s="32"/>
      <c r="O55" s="19"/>
      <c r="P55" s="135"/>
      <c r="Q55" s="132"/>
      <c r="R55" s="132"/>
      <c r="S55" s="132"/>
      <c r="T55" s="132"/>
      <c r="U55" s="132"/>
      <c r="V55" s="132"/>
      <c r="W55" s="166"/>
    </row>
    <row r="56" spans="1:23">
      <c r="A56" s="190">
        <v>3105</v>
      </c>
      <c r="B56" s="187" t="s">
        <v>22</v>
      </c>
      <c r="C56" s="187">
        <v>31</v>
      </c>
      <c r="D56" s="187">
        <v>1</v>
      </c>
      <c r="E56" s="187" t="s">
        <v>388</v>
      </c>
      <c r="F56" s="187" t="s">
        <v>43</v>
      </c>
      <c r="G56" s="133">
        <v>43178</v>
      </c>
      <c r="H56" s="133">
        <v>43178</v>
      </c>
      <c r="I56" s="19"/>
      <c r="J56" s="92">
        <v>1</v>
      </c>
      <c r="K56" s="153">
        <v>1</v>
      </c>
      <c r="L56" s="157">
        <f t="shared" si="0"/>
        <v>25</v>
      </c>
      <c r="M56" s="161">
        <f t="shared" si="1"/>
        <v>1</v>
      </c>
      <c r="N56" s="32" t="s">
        <v>36</v>
      </c>
      <c r="O56" s="19">
        <v>43194</v>
      </c>
      <c r="P56" s="135">
        <v>1</v>
      </c>
      <c r="Q56" s="132">
        <v>2</v>
      </c>
      <c r="R56" s="132">
        <v>2</v>
      </c>
      <c r="S56" s="132">
        <v>2</v>
      </c>
      <c r="T56" s="132">
        <v>2</v>
      </c>
      <c r="U56" s="132">
        <v>5</v>
      </c>
      <c r="V56" s="132">
        <v>5</v>
      </c>
      <c r="W56" s="166">
        <v>6</v>
      </c>
    </row>
    <row r="57" spans="1:23">
      <c r="A57" s="190">
        <v>3107</v>
      </c>
      <c r="B57" s="187" t="s">
        <v>22</v>
      </c>
      <c r="C57" s="187">
        <v>32</v>
      </c>
      <c r="D57" s="187">
        <v>1</v>
      </c>
      <c r="E57" s="187" t="s">
        <v>479</v>
      </c>
      <c r="F57" s="187" t="s">
        <v>389</v>
      </c>
      <c r="G57" s="133">
        <v>43178</v>
      </c>
      <c r="H57" s="133">
        <v>43178</v>
      </c>
      <c r="I57" s="19"/>
      <c r="J57" s="92">
        <v>1</v>
      </c>
      <c r="K57" s="153">
        <v>1</v>
      </c>
      <c r="L57" s="157">
        <f t="shared" si="0"/>
        <v>25</v>
      </c>
      <c r="M57" s="161">
        <f t="shared" si="1"/>
        <v>1</v>
      </c>
      <c r="N57" s="32" t="s">
        <v>36</v>
      </c>
      <c r="O57" s="19">
        <v>43194</v>
      </c>
      <c r="P57" s="135">
        <v>1</v>
      </c>
      <c r="Q57" s="132">
        <v>2</v>
      </c>
      <c r="R57" s="132">
        <v>2</v>
      </c>
      <c r="S57" s="132">
        <v>2</v>
      </c>
      <c r="T57" s="132">
        <v>2</v>
      </c>
      <c r="U57" s="132">
        <v>5</v>
      </c>
      <c r="V57" s="132">
        <v>5</v>
      </c>
      <c r="W57" s="166">
        <v>6</v>
      </c>
    </row>
    <row r="58" spans="1:23" hidden="1">
      <c r="A58" s="190">
        <v>3108</v>
      </c>
      <c r="B58" s="187" t="s">
        <v>22</v>
      </c>
      <c r="C58" s="187">
        <v>33</v>
      </c>
      <c r="D58" s="187">
        <v>2</v>
      </c>
      <c r="E58" s="187" t="s">
        <v>390</v>
      </c>
      <c r="F58" s="187" t="s">
        <v>54</v>
      </c>
      <c r="G58" s="133">
        <v>43158</v>
      </c>
      <c r="H58" s="133">
        <v>43158</v>
      </c>
      <c r="I58" s="19"/>
      <c r="J58" s="92">
        <v>1</v>
      </c>
      <c r="K58" s="153">
        <v>1</v>
      </c>
      <c r="L58" s="157">
        <f t="shared" si="0"/>
        <v>17</v>
      </c>
      <c r="M58" s="161">
        <f t="shared" si="1"/>
        <v>0.68</v>
      </c>
      <c r="N58" s="32" t="s">
        <v>32</v>
      </c>
      <c r="O58" s="19">
        <v>43167</v>
      </c>
      <c r="P58" s="135">
        <v>1</v>
      </c>
      <c r="Q58" s="132">
        <v>2</v>
      </c>
      <c r="R58" s="132">
        <v>1</v>
      </c>
      <c r="S58" s="132">
        <v>0</v>
      </c>
      <c r="T58" s="132">
        <v>2</v>
      </c>
      <c r="U58" s="132">
        <v>5</v>
      </c>
      <c r="V58" s="132">
        <v>0</v>
      </c>
      <c r="W58" s="166">
        <v>6</v>
      </c>
    </row>
    <row r="59" spans="1:23">
      <c r="A59" s="190">
        <v>3109</v>
      </c>
      <c r="B59" s="187" t="s">
        <v>22</v>
      </c>
      <c r="C59" s="187">
        <v>34</v>
      </c>
      <c r="D59" s="187">
        <v>1</v>
      </c>
      <c r="E59" s="187" t="s">
        <v>480</v>
      </c>
      <c r="F59" s="187" t="s">
        <v>391</v>
      </c>
      <c r="G59" s="133">
        <v>43178</v>
      </c>
      <c r="H59" s="133">
        <v>43178</v>
      </c>
      <c r="I59" s="19"/>
      <c r="J59" s="92">
        <v>1</v>
      </c>
      <c r="K59" s="153">
        <v>1</v>
      </c>
      <c r="L59" s="157">
        <f t="shared" si="0"/>
        <v>20</v>
      </c>
      <c r="M59" s="161">
        <f t="shared" si="1"/>
        <v>0.8</v>
      </c>
      <c r="N59" s="32">
        <v>4</v>
      </c>
      <c r="O59" s="19">
        <v>43194</v>
      </c>
      <c r="P59" s="135">
        <v>1</v>
      </c>
      <c r="Q59" s="132">
        <v>2</v>
      </c>
      <c r="R59" s="132">
        <v>2</v>
      </c>
      <c r="S59" s="132">
        <v>2</v>
      </c>
      <c r="T59" s="132">
        <v>2</v>
      </c>
      <c r="U59" s="132">
        <v>5</v>
      </c>
      <c r="V59" s="132">
        <v>0</v>
      </c>
      <c r="W59" s="166">
        <v>6</v>
      </c>
    </row>
    <row r="60" spans="1:23" ht="15" thickBot="1">
      <c r="A60" s="191">
        <v>3110</v>
      </c>
      <c r="B60" s="188" t="s">
        <v>22</v>
      </c>
      <c r="C60" s="188">
        <v>35</v>
      </c>
      <c r="D60" s="188">
        <v>1</v>
      </c>
      <c r="E60" s="188" t="s">
        <v>481</v>
      </c>
      <c r="F60" s="188" t="s">
        <v>392</v>
      </c>
      <c r="G60" s="128"/>
      <c r="H60" s="128"/>
      <c r="I60" s="25"/>
      <c r="J60" s="93">
        <v>1</v>
      </c>
      <c r="K60" s="154">
        <v>1</v>
      </c>
      <c r="L60" s="158">
        <f t="shared" si="0"/>
        <v>0</v>
      </c>
      <c r="M60" s="162">
        <f t="shared" si="1"/>
        <v>0</v>
      </c>
      <c r="N60" s="51"/>
      <c r="O60" s="25"/>
      <c r="P60" s="225"/>
      <c r="Q60" s="127"/>
      <c r="R60" s="127"/>
      <c r="S60" s="127"/>
      <c r="T60" s="127"/>
      <c r="U60" s="127"/>
      <c r="V60" s="127"/>
      <c r="W60" s="167"/>
    </row>
    <row r="61" spans="1:23" hidden="1">
      <c r="A61" s="189">
        <v>3111</v>
      </c>
      <c r="B61" s="186" t="s">
        <v>23</v>
      </c>
      <c r="C61" s="186">
        <v>1</v>
      </c>
      <c r="D61" s="186">
        <v>1</v>
      </c>
      <c r="E61" s="186" t="s">
        <v>496</v>
      </c>
      <c r="F61" s="186" t="s">
        <v>50</v>
      </c>
      <c r="G61" s="139"/>
      <c r="H61" s="139"/>
      <c r="I61" s="14"/>
      <c r="J61" s="94">
        <v>1</v>
      </c>
      <c r="K61" s="152">
        <v>1</v>
      </c>
      <c r="L61" s="156">
        <f t="shared" si="0"/>
        <v>0</v>
      </c>
      <c r="M61" s="160">
        <f t="shared" si="1"/>
        <v>0</v>
      </c>
      <c r="N61" s="52"/>
      <c r="O61" s="14"/>
      <c r="P61" s="226"/>
      <c r="Q61" s="138"/>
      <c r="R61" s="138"/>
      <c r="S61" s="138"/>
      <c r="T61" s="138"/>
      <c r="U61" s="138"/>
      <c r="V61" s="138"/>
      <c r="W61" s="165"/>
    </row>
    <row r="62" spans="1:23" hidden="1">
      <c r="A62" s="190">
        <v>3112</v>
      </c>
      <c r="B62" s="187" t="s">
        <v>23</v>
      </c>
      <c r="C62" s="187">
        <v>2</v>
      </c>
      <c r="D62" s="187">
        <v>1</v>
      </c>
      <c r="E62" s="187" t="s">
        <v>188</v>
      </c>
      <c r="F62" s="187" t="s">
        <v>393</v>
      </c>
      <c r="G62" s="133"/>
      <c r="H62" s="133"/>
      <c r="I62" s="19"/>
      <c r="J62" s="92">
        <v>1</v>
      </c>
      <c r="K62" s="153">
        <v>1</v>
      </c>
      <c r="L62" s="157">
        <f t="shared" si="0"/>
        <v>0</v>
      </c>
      <c r="M62" s="161">
        <f t="shared" si="1"/>
        <v>0</v>
      </c>
      <c r="N62" s="32"/>
      <c r="O62" s="19"/>
      <c r="P62" s="135"/>
      <c r="Q62" s="132"/>
      <c r="R62" s="132"/>
      <c r="S62" s="132"/>
      <c r="T62" s="132"/>
      <c r="U62" s="132"/>
      <c r="V62" s="132"/>
      <c r="W62" s="166"/>
    </row>
    <row r="63" spans="1:23" hidden="1">
      <c r="A63" s="190">
        <v>3113</v>
      </c>
      <c r="B63" s="187" t="s">
        <v>23</v>
      </c>
      <c r="C63" s="187">
        <v>3</v>
      </c>
      <c r="D63" s="187">
        <v>2</v>
      </c>
      <c r="E63" s="187" t="s">
        <v>506</v>
      </c>
      <c r="F63" s="187" t="s">
        <v>394</v>
      </c>
      <c r="G63" s="133"/>
      <c r="H63" s="133"/>
      <c r="I63" s="19"/>
      <c r="J63" s="92">
        <v>1</v>
      </c>
      <c r="K63" s="153">
        <v>1</v>
      </c>
      <c r="L63" s="157">
        <f t="shared" si="0"/>
        <v>0</v>
      </c>
      <c r="M63" s="161">
        <f t="shared" si="1"/>
        <v>0</v>
      </c>
      <c r="N63" s="32"/>
      <c r="O63" s="19"/>
      <c r="P63" s="135"/>
      <c r="Q63" s="132"/>
      <c r="R63" s="132"/>
      <c r="S63" s="132"/>
      <c r="T63" s="132"/>
      <c r="U63" s="132"/>
      <c r="V63" s="132"/>
      <c r="W63" s="166"/>
    </row>
    <row r="64" spans="1:23" hidden="1">
      <c r="A64" s="190">
        <v>3114</v>
      </c>
      <c r="B64" s="187" t="s">
        <v>23</v>
      </c>
      <c r="C64" s="187">
        <v>4</v>
      </c>
      <c r="D64" s="187">
        <v>1</v>
      </c>
      <c r="E64" s="187" t="s">
        <v>497</v>
      </c>
      <c r="F64" s="187" t="s">
        <v>51</v>
      </c>
      <c r="G64" s="19"/>
      <c r="H64" s="19"/>
      <c r="I64" s="19"/>
      <c r="J64" s="92">
        <v>1</v>
      </c>
      <c r="K64" s="153">
        <v>1</v>
      </c>
      <c r="L64" s="157">
        <f t="shared" si="0"/>
        <v>0</v>
      </c>
      <c r="M64" s="161">
        <f t="shared" si="1"/>
        <v>0</v>
      </c>
      <c r="N64" s="32"/>
      <c r="O64" s="19"/>
      <c r="P64" s="135"/>
      <c r="Q64" s="132"/>
      <c r="R64" s="132"/>
      <c r="S64" s="132"/>
      <c r="T64" s="132"/>
      <c r="U64" s="132"/>
      <c r="V64" s="132"/>
      <c r="W64" s="166"/>
    </row>
    <row r="65" spans="1:38" hidden="1">
      <c r="A65" s="190">
        <v>3177</v>
      </c>
      <c r="B65" s="187" t="s">
        <v>23</v>
      </c>
      <c r="C65" s="187">
        <v>6</v>
      </c>
      <c r="D65" s="187">
        <v>2</v>
      </c>
      <c r="E65" s="187" t="s">
        <v>507</v>
      </c>
      <c r="F65" s="187" t="s">
        <v>396</v>
      </c>
      <c r="G65" s="133"/>
      <c r="H65" s="133"/>
      <c r="I65" s="19"/>
      <c r="J65" s="92">
        <v>1</v>
      </c>
      <c r="K65" s="153">
        <v>1</v>
      </c>
      <c r="L65" s="157">
        <f t="shared" si="0"/>
        <v>0</v>
      </c>
      <c r="M65" s="161">
        <f t="shared" si="1"/>
        <v>0</v>
      </c>
      <c r="N65" s="32"/>
      <c r="O65" s="19"/>
      <c r="P65" s="135"/>
      <c r="Q65" s="132"/>
      <c r="R65" s="132"/>
      <c r="S65" s="132"/>
      <c r="T65" s="132"/>
      <c r="U65" s="132"/>
      <c r="V65" s="132"/>
      <c r="W65" s="166"/>
      <c r="AL65" s="45"/>
    </row>
    <row r="66" spans="1:38" hidden="1">
      <c r="A66" s="190">
        <v>3116</v>
      </c>
      <c r="B66" s="187" t="s">
        <v>23</v>
      </c>
      <c r="C66" s="187">
        <v>7</v>
      </c>
      <c r="D66" s="187">
        <v>2</v>
      </c>
      <c r="E66" s="187" t="s">
        <v>397</v>
      </c>
      <c r="F66" s="187" t="s">
        <v>398</v>
      </c>
      <c r="G66" s="133"/>
      <c r="H66" s="133"/>
      <c r="I66" s="19"/>
      <c r="J66" s="92">
        <v>1</v>
      </c>
      <c r="K66" s="153">
        <v>1</v>
      </c>
      <c r="L66" s="157">
        <f t="shared" si="0"/>
        <v>0</v>
      </c>
      <c r="M66" s="161">
        <f t="shared" si="1"/>
        <v>0</v>
      </c>
      <c r="N66" s="32"/>
      <c r="O66" s="19"/>
      <c r="P66" s="135"/>
      <c r="Q66" s="132"/>
      <c r="R66" s="132"/>
      <c r="S66" s="132"/>
      <c r="T66" s="132"/>
      <c r="U66" s="132"/>
      <c r="V66" s="132"/>
      <c r="W66" s="166"/>
      <c r="AL66" s="45"/>
    </row>
    <row r="67" spans="1:38" hidden="1">
      <c r="A67" s="190">
        <v>3117</v>
      </c>
      <c r="B67" s="187" t="s">
        <v>23</v>
      </c>
      <c r="C67" s="187">
        <v>8</v>
      </c>
      <c r="D67" s="187">
        <v>2</v>
      </c>
      <c r="E67" s="187" t="s">
        <v>508</v>
      </c>
      <c r="F67" s="187" t="s">
        <v>399</v>
      </c>
      <c r="G67" s="133"/>
      <c r="H67" s="133"/>
      <c r="I67" s="19"/>
      <c r="J67" s="92">
        <v>1</v>
      </c>
      <c r="K67" s="153">
        <v>1</v>
      </c>
      <c r="L67" s="157">
        <f t="shared" si="0"/>
        <v>0</v>
      </c>
      <c r="M67" s="161">
        <f t="shared" si="1"/>
        <v>0</v>
      </c>
      <c r="N67" s="32"/>
      <c r="O67" s="19"/>
      <c r="P67" s="135"/>
      <c r="Q67" s="132"/>
      <c r="R67" s="132"/>
      <c r="S67" s="132"/>
      <c r="T67" s="132"/>
      <c r="U67" s="132"/>
      <c r="V67" s="132"/>
      <c r="W67" s="166"/>
      <c r="AL67" s="45"/>
    </row>
    <row r="68" spans="1:38" hidden="1">
      <c r="A68" s="190">
        <v>3178</v>
      </c>
      <c r="B68" s="187" t="s">
        <v>23</v>
      </c>
      <c r="C68" s="187">
        <v>9</v>
      </c>
      <c r="D68" s="187">
        <v>2</v>
      </c>
      <c r="E68" s="187" t="s">
        <v>400</v>
      </c>
      <c r="F68" s="187" t="s">
        <v>401</v>
      </c>
      <c r="G68" s="133"/>
      <c r="H68" s="133"/>
      <c r="I68" s="19"/>
      <c r="J68" s="92">
        <v>1</v>
      </c>
      <c r="K68" s="153">
        <v>1</v>
      </c>
      <c r="L68" s="157">
        <f t="shared" si="0"/>
        <v>0</v>
      </c>
      <c r="M68" s="161">
        <f t="shared" si="1"/>
        <v>0</v>
      </c>
      <c r="N68" s="32"/>
      <c r="O68" s="19"/>
      <c r="P68" s="135"/>
      <c r="Q68" s="132"/>
      <c r="R68" s="132"/>
      <c r="S68" s="132"/>
      <c r="T68" s="132"/>
      <c r="U68" s="132"/>
      <c r="V68" s="132"/>
      <c r="W68" s="166"/>
      <c r="AL68" s="45"/>
    </row>
    <row r="69" spans="1:38" hidden="1">
      <c r="A69" s="190">
        <v>3118</v>
      </c>
      <c r="B69" s="187" t="s">
        <v>23</v>
      </c>
      <c r="C69" s="187">
        <v>10</v>
      </c>
      <c r="D69" s="187">
        <v>2</v>
      </c>
      <c r="E69" s="187" t="s">
        <v>509</v>
      </c>
      <c r="F69" s="187" t="s">
        <v>402</v>
      </c>
      <c r="G69" s="133"/>
      <c r="H69" s="133"/>
      <c r="I69" s="19"/>
      <c r="J69" s="92">
        <v>1</v>
      </c>
      <c r="K69" s="153">
        <v>1</v>
      </c>
      <c r="L69" s="157">
        <f t="shared" si="0"/>
        <v>0</v>
      </c>
      <c r="M69" s="161">
        <f t="shared" si="1"/>
        <v>0</v>
      </c>
      <c r="N69" s="32"/>
      <c r="O69" s="19"/>
      <c r="P69" s="135"/>
      <c r="Q69" s="132"/>
      <c r="R69" s="132"/>
      <c r="S69" s="132"/>
      <c r="T69" s="132"/>
      <c r="U69" s="132"/>
      <c r="V69" s="132"/>
      <c r="W69" s="166"/>
      <c r="AL69" s="45"/>
    </row>
    <row r="70" spans="1:38" hidden="1">
      <c r="A70" s="190">
        <v>3119</v>
      </c>
      <c r="B70" s="187" t="s">
        <v>23</v>
      </c>
      <c r="C70" s="187">
        <v>11</v>
      </c>
      <c r="D70" s="187">
        <v>2</v>
      </c>
      <c r="E70" s="187" t="s">
        <v>510</v>
      </c>
      <c r="F70" s="187" t="s">
        <v>403</v>
      </c>
      <c r="G70" s="19"/>
      <c r="H70" s="19"/>
      <c r="I70" s="19"/>
      <c r="J70" s="92">
        <v>1</v>
      </c>
      <c r="K70" s="153">
        <v>1</v>
      </c>
      <c r="L70" s="157">
        <f t="shared" si="0"/>
        <v>0</v>
      </c>
      <c r="M70" s="161">
        <f t="shared" si="1"/>
        <v>0</v>
      </c>
      <c r="N70" s="32"/>
      <c r="O70" s="19"/>
      <c r="P70" s="6"/>
      <c r="Q70" s="30"/>
      <c r="R70" s="30"/>
      <c r="S70" s="30"/>
      <c r="T70" s="30"/>
      <c r="U70" s="30"/>
      <c r="V70" s="30"/>
      <c r="W70" s="40"/>
      <c r="AL70" s="45"/>
    </row>
    <row r="71" spans="1:38" hidden="1">
      <c r="A71" s="190">
        <v>3174</v>
      </c>
      <c r="B71" s="187" t="s">
        <v>23</v>
      </c>
      <c r="C71" s="187">
        <v>12</v>
      </c>
      <c r="D71" s="187">
        <v>2</v>
      </c>
      <c r="E71" s="187" t="s">
        <v>511</v>
      </c>
      <c r="F71" s="187" t="s">
        <v>94</v>
      </c>
      <c r="G71" s="19"/>
      <c r="H71" s="19"/>
      <c r="I71" s="6"/>
      <c r="J71" s="92">
        <v>1</v>
      </c>
      <c r="K71" s="153">
        <v>1</v>
      </c>
      <c r="L71" s="157">
        <f t="shared" si="0"/>
        <v>0</v>
      </c>
      <c r="M71" s="161">
        <f t="shared" si="1"/>
        <v>0</v>
      </c>
      <c r="N71" s="32"/>
      <c r="O71" s="19"/>
      <c r="P71" s="6"/>
      <c r="Q71" s="30"/>
      <c r="R71" s="30"/>
      <c r="S71" s="30"/>
      <c r="T71" s="30"/>
      <c r="U71" s="30"/>
      <c r="V71" s="30"/>
      <c r="W71" s="40"/>
      <c r="AL71" s="45"/>
    </row>
    <row r="72" spans="1:38" hidden="1">
      <c r="A72" s="190">
        <v>3121</v>
      </c>
      <c r="B72" s="187" t="s">
        <v>23</v>
      </c>
      <c r="C72" s="187">
        <v>13</v>
      </c>
      <c r="D72" s="187">
        <v>1</v>
      </c>
      <c r="E72" s="187" t="s">
        <v>498</v>
      </c>
      <c r="F72" s="187" t="s">
        <v>404</v>
      </c>
      <c r="G72" s="19"/>
      <c r="H72" s="19"/>
      <c r="I72" s="6"/>
      <c r="J72" s="92">
        <v>1</v>
      </c>
      <c r="K72" s="153">
        <v>1</v>
      </c>
      <c r="L72" s="157">
        <f t="shared" si="0"/>
        <v>0</v>
      </c>
      <c r="M72" s="161">
        <f t="shared" si="1"/>
        <v>0</v>
      </c>
      <c r="N72" s="32"/>
      <c r="O72" s="19"/>
      <c r="P72" s="6"/>
      <c r="Q72" s="30"/>
      <c r="R72" s="30"/>
      <c r="S72" s="30"/>
      <c r="T72" s="30"/>
      <c r="U72" s="30"/>
      <c r="V72" s="30"/>
      <c r="W72" s="40"/>
      <c r="AL72" s="45"/>
    </row>
    <row r="73" spans="1:38" hidden="1">
      <c r="A73" s="190">
        <v>3122</v>
      </c>
      <c r="B73" s="187" t="s">
        <v>23</v>
      </c>
      <c r="C73" s="187">
        <v>14</v>
      </c>
      <c r="D73" s="187">
        <v>1</v>
      </c>
      <c r="E73" s="187" t="s">
        <v>499</v>
      </c>
      <c r="F73" s="187" t="s">
        <v>405</v>
      </c>
      <c r="G73" s="30"/>
      <c r="H73" s="30"/>
      <c r="I73" s="6"/>
      <c r="J73" s="92">
        <v>1</v>
      </c>
      <c r="K73" s="153">
        <v>1</v>
      </c>
      <c r="L73" s="157">
        <f t="shared" si="0"/>
        <v>0</v>
      </c>
      <c r="M73" s="161">
        <f t="shared" si="1"/>
        <v>0</v>
      </c>
      <c r="N73" s="32"/>
      <c r="O73" s="6"/>
      <c r="P73" s="6"/>
      <c r="Q73" s="30"/>
      <c r="R73" s="30"/>
      <c r="S73" s="30"/>
      <c r="T73" s="30"/>
      <c r="U73" s="30"/>
      <c r="V73" s="30"/>
      <c r="W73" s="40"/>
      <c r="AL73" s="45"/>
    </row>
    <row r="74" spans="1:38" hidden="1">
      <c r="A74" s="190">
        <v>3123</v>
      </c>
      <c r="B74" s="187" t="s">
        <v>23</v>
      </c>
      <c r="C74" s="187">
        <v>15</v>
      </c>
      <c r="D74" s="187">
        <v>1</v>
      </c>
      <c r="E74" s="187" t="s">
        <v>500</v>
      </c>
      <c r="F74" s="187" t="s">
        <v>406</v>
      </c>
      <c r="G74" s="19"/>
      <c r="H74" s="19"/>
      <c r="I74" s="6"/>
      <c r="J74" s="92">
        <v>1</v>
      </c>
      <c r="K74" s="153">
        <v>1</v>
      </c>
      <c r="L74" s="157">
        <f t="shared" ref="L74:L97" si="2">SUM(P74:W74)</f>
        <v>0</v>
      </c>
      <c r="M74" s="161">
        <f t="shared" si="1"/>
        <v>0</v>
      </c>
      <c r="N74" s="32"/>
      <c r="O74" s="19"/>
      <c r="P74" s="6"/>
      <c r="Q74" s="30"/>
      <c r="R74" s="30"/>
      <c r="S74" s="30"/>
      <c r="T74" s="30"/>
      <c r="U74" s="30"/>
      <c r="V74" s="30"/>
      <c r="W74" s="40"/>
      <c r="AL74" s="45"/>
    </row>
    <row r="75" spans="1:38" hidden="1">
      <c r="A75" s="190">
        <v>3124</v>
      </c>
      <c r="B75" s="187" t="s">
        <v>23</v>
      </c>
      <c r="C75" s="187">
        <v>16</v>
      </c>
      <c r="D75" s="187">
        <v>1</v>
      </c>
      <c r="E75" s="187" t="s">
        <v>501</v>
      </c>
      <c r="F75" s="187" t="s">
        <v>407</v>
      </c>
      <c r="G75" s="133"/>
      <c r="H75" s="133"/>
      <c r="I75" s="6"/>
      <c r="J75" s="92">
        <v>1</v>
      </c>
      <c r="K75" s="153">
        <v>1</v>
      </c>
      <c r="L75" s="157">
        <f t="shared" si="2"/>
        <v>0</v>
      </c>
      <c r="M75" s="161">
        <f t="shared" ref="M75:M127" si="3">L75/$L$2</f>
        <v>0</v>
      </c>
      <c r="N75" s="32"/>
      <c r="O75" s="19"/>
      <c r="P75" s="6"/>
      <c r="Q75" s="30"/>
      <c r="R75" s="30"/>
      <c r="S75" s="30"/>
      <c r="T75" s="30"/>
      <c r="U75" s="30"/>
      <c r="V75" s="30"/>
      <c r="W75" s="40"/>
      <c r="AL75" s="45"/>
    </row>
    <row r="76" spans="1:38" hidden="1">
      <c r="A76" s="190">
        <v>3098</v>
      </c>
      <c r="B76" s="187" t="s">
        <v>23</v>
      </c>
      <c r="C76" s="187">
        <v>17</v>
      </c>
      <c r="D76" s="187">
        <v>1</v>
      </c>
      <c r="E76" s="187" t="s">
        <v>495</v>
      </c>
      <c r="F76" s="187" t="s">
        <v>163</v>
      </c>
      <c r="G76" s="19"/>
      <c r="H76" s="19"/>
      <c r="I76" s="6"/>
      <c r="J76" s="92">
        <v>1</v>
      </c>
      <c r="K76" s="153">
        <v>1</v>
      </c>
      <c r="L76" s="157">
        <f t="shared" si="2"/>
        <v>0</v>
      </c>
      <c r="M76" s="161">
        <f t="shared" si="3"/>
        <v>0</v>
      </c>
      <c r="N76" s="32"/>
      <c r="O76" s="19"/>
      <c r="P76" s="6"/>
      <c r="Q76" s="30"/>
      <c r="R76" s="30"/>
      <c r="S76" s="30"/>
      <c r="T76" s="30"/>
      <c r="U76" s="30"/>
      <c r="V76" s="30"/>
      <c r="W76" s="40"/>
      <c r="AL76" s="45"/>
    </row>
    <row r="77" spans="1:38" hidden="1">
      <c r="A77" s="190">
        <v>3126</v>
      </c>
      <c r="B77" s="187" t="s">
        <v>23</v>
      </c>
      <c r="C77" s="187">
        <v>18</v>
      </c>
      <c r="D77" s="187">
        <v>2</v>
      </c>
      <c r="E77" s="187" t="s">
        <v>512</v>
      </c>
      <c r="F77" s="187" t="s">
        <v>408</v>
      </c>
      <c r="G77" s="19"/>
      <c r="H77" s="19"/>
      <c r="I77" s="6"/>
      <c r="J77" s="92">
        <v>1</v>
      </c>
      <c r="K77" s="153">
        <v>1</v>
      </c>
      <c r="L77" s="157">
        <f t="shared" si="2"/>
        <v>0</v>
      </c>
      <c r="M77" s="161">
        <f t="shared" si="3"/>
        <v>0</v>
      </c>
      <c r="N77" s="32"/>
      <c r="O77" s="19"/>
      <c r="P77" s="6"/>
      <c r="Q77" s="30"/>
      <c r="R77" s="30"/>
      <c r="S77" s="30"/>
      <c r="T77" s="30"/>
      <c r="U77" s="30"/>
      <c r="V77" s="30"/>
      <c r="W77" s="40"/>
      <c r="AL77" s="45"/>
    </row>
    <row r="78" spans="1:38" hidden="1">
      <c r="A78" s="190">
        <v>3127</v>
      </c>
      <c r="B78" s="187" t="s">
        <v>23</v>
      </c>
      <c r="C78" s="187">
        <v>19</v>
      </c>
      <c r="D78" s="187" t="s">
        <v>549</v>
      </c>
      <c r="E78" s="187" t="s">
        <v>531</v>
      </c>
      <c r="F78" s="187" t="s">
        <v>409</v>
      </c>
      <c r="G78" s="19"/>
      <c r="H78" s="19"/>
      <c r="I78" s="6"/>
      <c r="J78" s="92">
        <v>1</v>
      </c>
      <c r="K78" s="153">
        <v>1</v>
      </c>
      <c r="L78" s="157">
        <f t="shared" si="2"/>
        <v>0</v>
      </c>
      <c r="M78" s="161">
        <f t="shared" si="3"/>
        <v>0</v>
      </c>
      <c r="N78" s="32"/>
      <c r="O78" s="133"/>
      <c r="P78" s="30"/>
      <c r="Q78" s="30"/>
      <c r="R78" s="30"/>
      <c r="S78" s="30"/>
      <c r="T78" s="30"/>
      <c r="U78" s="30"/>
      <c r="V78" s="30"/>
      <c r="W78" s="40"/>
      <c r="AL78" s="45"/>
    </row>
    <row r="79" spans="1:38" hidden="1">
      <c r="A79" s="190">
        <v>3128</v>
      </c>
      <c r="B79" s="187" t="s">
        <v>23</v>
      </c>
      <c r="C79" s="187">
        <v>20</v>
      </c>
      <c r="D79" s="187">
        <v>1</v>
      </c>
      <c r="E79" s="187" t="s">
        <v>0</v>
      </c>
      <c r="F79" s="187" t="s">
        <v>410</v>
      </c>
      <c r="G79" s="19"/>
      <c r="H79" s="19"/>
      <c r="I79" s="6"/>
      <c r="J79" s="92">
        <v>1</v>
      </c>
      <c r="K79" s="153">
        <v>1</v>
      </c>
      <c r="L79" s="157">
        <f t="shared" si="2"/>
        <v>0</v>
      </c>
      <c r="M79" s="161">
        <f t="shared" si="3"/>
        <v>0</v>
      </c>
      <c r="N79" s="32"/>
      <c r="O79" s="133"/>
      <c r="P79" s="30"/>
      <c r="Q79" s="30"/>
      <c r="R79" s="30"/>
      <c r="S79" s="30"/>
      <c r="T79" s="30"/>
      <c r="U79" s="30"/>
      <c r="V79" s="30"/>
      <c r="W79" s="40"/>
      <c r="AL79" s="45"/>
    </row>
    <row r="80" spans="1:38" hidden="1">
      <c r="A80" s="190">
        <v>3129</v>
      </c>
      <c r="B80" s="187" t="s">
        <v>23</v>
      </c>
      <c r="C80" s="187">
        <v>21</v>
      </c>
      <c r="D80" s="187" t="s">
        <v>450</v>
      </c>
      <c r="E80" s="187" t="s">
        <v>502</v>
      </c>
      <c r="F80" s="187" t="s">
        <v>411</v>
      </c>
      <c r="G80" s="19"/>
      <c r="H80" s="19"/>
      <c r="I80" s="6"/>
      <c r="J80" s="92">
        <v>1</v>
      </c>
      <c r="K80" s="153">
        <v>1</v>
      </c>
      <c r="L80" s="157">
        <f t="shared" si="2"/>
        <v>0</v>
      </c>
      <c r="M80" s="161">
        <f t="shared" si="3"/>
        <v>0</v>
      </c>
      <c r="N80" s="32"/>
      <c r="O80" s="133"/>
      <c r="P80" s="30"/>
      <c r="Q80" s="30"/>
      <c r="R80" s="30"/>
      <c r="S80" s="30"/>
      <c r="T80" s="30"/>
      <c r="U80" s="30"/>
      <c r="V80" s="30"/>
      <c r="W80" s="40"/>
      <c r="AL80" s="45"/>
    </row>
    <row r="81" spans="1:38" hidden="1">
      <c r="A81" s="190">
        <v>3130</v>
      </c>
      <c r="B81" s="187" t="s">
        <v>23</v>
      </c>
      <c r="C81" s="187">
        <v>22</v>
      </c>
      <c r="D81" s="187" t="s">
        <v>549</v>
      </c>
      <c r="E81" s="187" t="s">
        <v>550</v>
      </c>
      <c r="F81" s="187" t="s">
        <v>412</v>
      </c>
      <c r="G81" s="19"/>
      <c r="H81" s="19"/>
      <c r="I81" s="6"/>
      <c r="J81" s="92">
        <v>1</v>
      </c>
      <c r="K81" s="153">
        <v>1</v>
      </c>
      <c r="L81" s="157">
        <f t="shared" si="2"/>
        <v>0</v>
      </c>
      <c r="M81" s="161">
        <f t="shared" si="3"/>
        <v>0</v>
      </c>
      <c r="N81" s="32"/>
      <c r="O81" s="133"/>
      <c r="P81" s="30"/>
      <c r="Q81" s="30"/>
      <c r="R81" s="30"/>
      <c r="S81" s="30"/>
      <c r="T81" s="30"/>
      <c r="U81" s="30"/>
      <c r="V81" s="30"/>
      <c r="W81" s="40"/>
      <c r="AL81" s="45"/>
    </row>
    <row r="82" spans="1:38" hidden="1">
      <c r="A82" s="190">
        <v>3131</v>
      </c>
      <c r="B82" s="187" t="s">
        <v>23</v>
      </c>
      <c r="C82" s="187">
        <v>23</v>
      </c>
      <c r="D82" s="187">
        <v>2</v>
      </c>
      <c r="E82" s="187" t="s">
        <v>513</v>
      </c>
      <c r="F82" s="187" t="s">
        <v>59</v>
      </c>
      <c r="G82" s="19"/>
      <c r="H82" s="19"/>
      <c r="I82" s="6"/>
      <c r="J82" s="92">
        <v>1</v>
      </c>
      <c r="K82" s="153">
        <v>1</v>
      </c>
      <c r="L82" s="157">
        <f t="shared" si="2"/>
        <v>0</v>
      </c>
      <c r="M82" s="161">
        <f t="shared" si="3"/>
        <v>0</v>
      </c>
      <c r="N82" s="32"/>
      <c r="O82" s="133"/>
      <c r="P82" s="30"/>
      <c r="Q82" s="30"/>
      <c r="R82" s="30"/>
      <c r="S82" s="30"/>
      <c r="T82" s="30"/>
      <c r="U82" s="30"/>
      <c r="V82" s="30"/>
      <c r="W82" s="40"/>
      <c r="AL82" s="45"/>
    </row>
    <row r="83" spans="1:38" hidden="1">
      <c r="A83" s="190">
        <v>3132</v>
      </c>
      <c r="B83" s="187" t="s">
        <v>23</v>
      </c>
      <c r="C83" s="187">
        <v>24</v>
      </c>
      <c r="D83" s="187">
        <v>2</v>
      </c>
      <c r="E83" s="187" t="s">
        <v>514</v>
      </c>
      <c r="F83" s="187" t="s">
        <v>413</v>
      </c>
      <c r="G83" s="133"/>
      <c r="H83" s="133"/>
      <c r="I83" s="6"/>
      <c r="J83" s="92">
        <v>1</v>
      </c>
      <c r="K83" s="153">
        <v>1</v>
      </c>
      <c r="L83" s="157">
        <f t="shared" si="2"/>
        <v>0</v>
      </c>
      <c r="M83" s="161">
        <f t="shared" si="3"/>
        <v>0</v>
      </c>
      <c r="N83" s="32"/>
      <c r="O83" s="19"/>
      <c r="P83" s="6"/>
      <c r="Q83" s="30"/>
      <c r="R83" s="30"/>
      <c r="S83" s="30"/>
      <c r="T83" s="30"/>
      <c r="U83" s="30"/>
      <c r="V83" s="30"/>
      <c r="W83" s="40"/>
      <c r="AL83" s="45"/>
    </row>
    <row r="84" spans="1:38" hidden="1">
      <c r="A84" s="190">
        <v>3134</v>
      </c>
      <c r="B84" s="187" t="s">
        <v>23</v>
      </c>
      <c r="C84" s="187">
        <v>25</v>
      </c>
      <c r="D84" s="187">
        <v>1</v>
      </c>
      <c r="E84" s="187" t="s">
        <v>503</v>
      </c>
      <c r="F84" s="187" t="s">
        <v>414</v>
      </c>
      <c r="G84" s="133"/>
      <c r="H84" s="133"/>
      <c r="I84" s="6"/>
      <c r="J84" s="92">
        <v>1</v>
      </c>
      <c r="K84" s="153">
        <v>1</v>
      </c>
      <c r="L84" s="157">
        <f t="shared" si="2"/>
        <v>0</v>
      </c>
      <c r="M84" s="161">
        <f t="shared" si="3"/>
        <v>0</v>
      </c>
      <c r="N84" s="32"/>
      <c r="O84" s="19"/>
      <c r="P84" s="6"/>
      <c r="Q84" s="30"/>
      <c r="R84" s="30"/>
      <c r="S84" s="30"/>
      <c r="T84" s="30"/>
      <c r="U84" s="30"/>
      <c r="V84" s="30"/>
      <c r="W84" s="40"/>
      <c r="AL84" s="45"/>
    </row>
    <row r="85" spans="1:38" hidden="1">
      <c r="A85" s="190">
        <v>3135</v>
      </c>
      <c r="B85" s="187" t="s">
        <v>23</v>
      </c>
      <c r="C85" s="187">
        <v>26</v>
      </c>
      <c r="D85" s="187">
        <v>2</v>
      </c>
      <c r="E85" s="187" t="s">
        <v>515</v>
      </c>
      <c r="F85" s="187" t="s">
        <v>415</v>
      </c>
      <c r="G85" s="133"/>
      <c r="H85" s="19"/>
      <c r="I85" s="6"/>
      <c r="J85" s="92">
        <v>1</v>
      </c>
      <c r="K85" s="153">
        <v>1</v>
      </c>
      <c r="L85" s="157">
        <f t="shared" si="2"/>
        <v>0</v>
      </c>
      <c r="M85" s="161">
        <f t="shared" si="3"/>
        <v>0</v>
      </c>
      <c r="N85" s="32"/>
      <c r="O85" s="19"/>
      <c r="P85" s="6"/>
      <c r="Q85" s="30"/>
      <c r="R85" s="30"/>
      <c r="S85" s="30"/>
      <c r="T85" s="30"/>
      <c r="U85" s="30"/>
      <c r="V85" s="30"/>
      <c r="W85" s="40"/>
      <c r="AL85" s="45"/>
    </row>
    <row r="86" spans="1:38" hidden="1">
      <c r="A86" s="190">
        <v>3137</v>
      </c>
      <c r="B86" s="187" t="s">
        <v>23</v>
      </c>
      <c r="C86" s="187">
        <v>27</v>
      </c>
      <c r="D86" s="187">
        <v>2</v>
      </c>
      <c r="E86" s="187" t="s">
        <v>516</v>
      </c>
      <c r="F86" s="187" t="s">
        <v>416</v>
      </c>
      <c r="G86" s="133"/>
      <c r="H86" s="133"/>
      <c r="I86" s="6"/>
      <c r="J86" s="92">
        <v>1</v>
      </c>
      <c r="K86" s="153">
        <v>1</v>
      </c>
      <c r="L86" s="157">
        <f t="shared" si="2"/>
        <v>0</v>
      </c>
      <c r="M86" s="161">
        <f t="shared" si="3"/>
        <v>0</v>
      </c>
      <c r="N86" s="32"/>
      <c r="O86" s="19"/>
      <c r="P86" s="6"/>
      <c r="Q86" s="30"/>
      <c r="R86" s="30"/>
      <c r="S86" s="30"/>
      <c r="T86" s="30"/>
      <c r="U86" s="30"/>
      <c r="V86" s="30"/>
      <c r="W86" s="40"/>
      <c r="AL86" s="45"/>
    </row>
    <row r="87" spans="1:38" hidden="1">
      <c r="A87" s="190">
        <v>3138</v>
      </c>
      <c r="B87" s="187" t="s">
        <v>23</v>
      </c>
      <c r="C87" s="187">
        <v>28</v>
      </c>
      <c r="D87" s="187">
        <v>1</v>
      </c>
      <c r="E87" s="187" t="s">
        <v>504</v>
      </c>
      <c r="F87" s="187" t="s">
        <v>417</v>
      </c>
      <c r="G87" s="133"/>
      <c r="H87" s="133"/>
      <c r="I87" s="6"/>
      <c r="J87" s="92">
        <v>1</v>
      </c>
      <c r="K87" s="153">
        <v>1</v>
      </c>
      <c r="L87" s="157">
        <f t="shared" si="2"/>
        <v>0</v>
      </c>
      <c r="M87" s="161">
        <f t="shared" si="3"/>
        <v>0</v>
      </c>
      <c r="N87" s="32"/>
      <c r="O87" s="19"/>
      <c r="P87" s="6"/>
      <c r="Q87" s="30"/>
      <c r="R87" s="30"/>
      <c r="S87" s="30"/>
      <c r="T87" s="30"/>
      <c r="U87" s="30"/>
      <c r="V87" s="30"/>
      <c r="W87" s="40"/>
      <c r="AL87" s="45"/>
    </row>
    <row r="88" spans="1:38" hidden="1">
      <c r="A88" s="190">
        <v>3139</v>
      </c>
      <c r="B88" s="187" t="s">
        <v>23</v>
      </c>
      <c r="C88" s="187">
        <v>29</v>
      </c>
      <c r="D88" s="187">
        <v>1</v>
      </c>
      <c r="E88" s="187" t="s">
        <v>14</v>
      </c>
      <c r="F88" s="187" t="s">
        <v>418</v>
      </c>
      <c r="G88" s="133"/>
      <c r="H88" s="133"/>
      <c r="I88" s="6"/>
      <c r="J88" s="92">
        <v>1</v>
      </c>
      <c r="K88" s="153">
        <v>1</v>
      </c>
      <c r="L88" s="157">
        <f t="shared" si="2"/>
        <v>0</v>
      </c>
      <c r="M88" s="161">
        <f t="shared" si="3"/>
        <v>0</v>
      </c>
      <c r="N88" s="32"/>
      <c r="O88" s="19"/>
      <c r="P88" s="6"/>
      <c r="Q88" s="30"/>
      <c r="R88" s="30"/>
      <c r="S88" s="30"/>
      <c r="T88" s="30"/>
      <c r="U88" s="30"/>
      <c r="V88" s="30"/>
      <c r="W88" s="40"/>
      <c r="AL88" s="45"/>
    </row>
    <row r="89" spans="1:38" hidden="1">
      <c r="A89" s="190">
        <v>3140</v>
      </c>
      <c r="B89" s="187" t="s">
        <v>23</v>
      </c>
      <c r="C89" s="187">
        <v>30</v>
      </c>
      <c r="D89" s="187">
        <v>2</v>
      </c>
      <c r="E89" s="187" t="s">
        <v>473</v>
      </c>
      <c r="F89" s="187" t="s">
        <v>419</v>
      </c>
      <c r="G89" s="133"/>
      <c r="H89" s="133"/>
      <c r="I89" s="6"/>
      <c r="J89" s="92">
        <v>1</v>
      </c>
      <c r="K89" s="153">
        <v>1</v>
      </c>
      <c r="L89" s="157">
        <f t="shared" si="2"/>
        <v>0</v>
      </c>
      <c r="M89" s="161">
        <f t="shared" si="3"/>
        <v>0</v>
      </c>
      <c r="N89" s="32"/>
      <c r="O89" s="19"/>
      <c r="P89" s="6"/>
      <c r="Q89" s="30"/>
      <c r="R89" s="30"/>
      <c r="S89" s="30"/>
      <c r="T89" s="30"/>
      <c r="U89" s="30"/>
      <c r="V89" s="30"/>
      <c r="W89" s="40"/>
      <c r="AL89" s="45"/>
    </row>
    <row r="90" spans="1:38" ht="15" hidden="1" thickBot="1">
      <c r="A90" s="191">
        <v>3191</v>
      </c>
      <c r="B90" s="188" t="s">
        <v>23</v>
      </c>
      <c r="C90" s="188">
        <v>31</v>
      </c>
      <c r="D90" s="188">
        <v>1</v>
      </c>
      <c r="E90" s="188" t="s">
        <v>505</v>
      </c>
      <c r="F90" s="188" t="s">
        <v>451</v>
      </c>
      <c r="G90" s="128"/>
      <c r="H90" s="128"/>
      <c r="I90" s="24"/>
      <c r="J90" s="93">
        <v>1</v>
      </c>
      <c r="K90" s="154">
        <v>1</v>
      </c>
      <c r="L90" s="158">
        <f t="shared" si="2"/>
        <v>0</v>
      </c>
      <c r="M90" s="162">
        <f t="shared" si="3"/>
        <v>0</v>
      </c>
      <c r="N90" s="51"/>
      <c r="O90" s="25"/>
      <c r="P90" s="24"/>
      <c r="Q90" s="31"/>
      <c r="R90" s="31"/>
      <c r="S90" s="31"/>
      <c r="T90" s="31"/>
      <c r="U90" s="31"/>
      <c r="V90" s="31"/>
      <c r="W90" s="41"/>
      <c r="AL90" s="45"/>
    </row>
    <row r="91" spans="1:38" hidden="1">
      <c r="A91" s="189">
        <v>3141</v>
      </c>
      <c r="B91" s="186" t="s">
        <v>24</v>
      </c>
      <c r="C91" s="186">
        <v>1</v>
      </c>
      <c r="D91" s="186">
        <v>1</v>
      </c>
      <c r="E91" s="186" t="s">
        <v>518</v>
      </c>
      <c r="F91" s="186" t="s">
        <v>361</v>
      </c>
      <c r="G91" s="139"/>
      <c r="H91" s="14"/>
      <c r="I91" s="4"/>
      <c r="J91" s="94">
        <v>1</v>
      </c>
      <c r="K91" s="152">
        <v>1</v>
      </c>
      <c r="L91" s="156">
        <f t="shared" si="2"/>
        <v>0</v>
      </c>
      <c r="M91" s="160">
        <f t="shared" si="3"/>
        <v>0</v>
      </c>
      <c r="N91" s="52"/>
      <c r="O91" s="14"/>
      <c r="P91" s="4"/>
      <c r="Q91" s="33"/>
      <c r="R91" s="33"/>
      <c r="S91" s="33"/>
      <c r="T91" s="33"/>
      <c r="U91" s="33"/>
      <c r="V91" s="33"/>
      <c r="W91" s="39"/>
      <c r="AL91" s="45"/>
    </row>
    <row r="92" spans="1:38" hidden="1">
      <c r="A92" s="190">
        <v>3142</v>
      </c>
      <c r="B92" s="187" t="s">
        <v>24</v>
      </c>
      <c r="C92" s="187">
        <v>2</v>
      </c>
      <c r="D92" s="187">
        <v>2</v>
      </c>
      <c r="E92" s="187" t="s">
        <v>536</v>
      </c>
      <c r="F92" s="187" t="s">
        <v>420</v>
      </c>
      <c r="G92" s="133">
        <v>43158</v>
      </c>
      <c r="H92" s="133">
        <v>43158</v>
      </c>
      <c r="I92" s="6"/>
      <c r="J92" s="92">
        <v>1</v>
      </c>
      <c r="K92" s="153">
        <v>1</v>
      </c>
      <c r="L92" s="157">
        <f t="shared" si="2"/>
        <v>22</v>
      </c>
      <c r="M92" s="161">
        <f t="shared" si="3"/>
        <v>0.88</v>
      </c>
      <c r="N92" s="32" t="s">
        <v>33</v>
      </c>
      <c r="O92" s="19">
        <v>43167</v>
      </c>
      <c r="P92" s="6">
        <v>1</v>
      </c>
      <c r="Q92" s="30">
        <v>2</v>
      </c>
      <c r="R92" s="30">
        <v>2</v>
      </c>
      <c r="S92" s="30">
        <v>2</v>
      </c>
      <c r="T92" s="30">
        <v>2</v>
      </c>
      <c r="U92" s="30">
        <v>5</v>
      </c>
      <c r="V92" s="30">
        <v>2</v>
      </c>
      <c r="W92" s="40">
        <v>6</v>
      </c>
      <c r="AL92" s="45"/>
    </row>
    <row r="93" spans="1:38" hidden="1">
      <c r="A93" s="190">
        <v>3115</v>
      </c>
      <c r="B93" s="187" t="s">
        <v>24</v>
      </c>
      <c r="C93" s="187">
        <v>3</v>
      </c>
      <c r="D93" s="187">
        <v>2</v>
      </c>
      <c r="E93" s="187" t="s">
        <v>517</v>
      </c>
      <c r="F93" s="187" t="s">
        <v>395</v>
      </c>
      <c r="G93" s="133">
        <v>43158</v>
      </c>
      <c r="H93" s="133">
        <v>43158</v>
      </c>
      <c r="I93" s="6"/>
      <c r="J93" s="92">
        <v>1</v>
      </c>
      <c r="K93" s="153">
        <v>1</v>
      </c>
      <c r="L93" s="157">
        <f>SUM(P93:W93)</f>
        <v>16</v>
      </c>
      <c r="M93" s="161">
        <f>L93/$L$2</f>
        <v>0.64</v>
      </c>
      <c r="N93" s="32">
        <v>3</v>
      </c>
      <c r="O93" s="19">
        <v>43167</v>
      </c>
      <c r="P93" s="6">
        <v>1</v>
      </c>
      <c r="Q93" s="30">
        <v>2</v>
      </c>
      <c r="R93" s="30">
        <v>0</v>
      </c>
      <c r="S93" s="30">
        <v>0</v>
      </c>
      <c r="T93" s="30">
        <v>2</v>
      </c>
      <c r="U93" s="30">
        <v>5</v>
      </c>
      <c r="V93" s="30">
        <v>0</v>
      </c>
      <c r="W93" s="40">
        <v>6</v>
      </c>
      <c r="AL93" s="45"/>
    </row>
    <row r="94" spans="1:38" hidden="1">
      <c r="A94" s="190">
        <v>3143</v>
      </c>
      <c r="B94" s="187" t="s">
        <v>24</v>
      </c>
      <c r="C94" s="187">
        <v>4</v>
      </c>
      <c r="D94" s="187">
        <v>2</v>
      </c>
      <c r="E94" s="187" t="s">
        <v>65</v>
      </c>
      <c r="F94" s="187" t="s">
        <v>421</v>
      </c>
      <c r="G94" s="133">
        <v>43158</v>
      </c>
      <c r="H94" s="133">
        <v>43158</v>
      </c>
      <c r="I94" s="6"/>
      <c r="J94" s="92">
        <v>1</v>
      </c>
      <c r="K94" s="153">
        <v>1</v>
      </c>
      <c r="L94" s="157">
        <f t="shared" si="2"/>
        <v>19</v>
      </c>
      <c r="M94" s="161">
        <f t="shared" si="3"/>
        <v>0.76</v>
      </c>
      <c r="N94" s="32">
        <v>4</v>
      </c>
      <c r="O94" s="19">
        <v>43167</v>
      </c>
      <c r="P94" s="6">
        <v>1</v>
      </c>
      <c r="Q94" s="30">
        <v>1</v>
      </c>
      <c r="R94" s="30">
        <v>2</v>
      </c>
      <c r="S94" s="30">
        <v>2</v>
      </c>
      <c r="T94" s="30">
        <v>2</v>
      </c>
      <c r="U94" s="30">
        <v>5</v>
      </c>
      <c r="V94" s="30">
        <v>0</v>
      </c>
      <c r="W94" s="40">
        <v>6</v>
      </c>
      <c r="AL94" s="45"/>
    </row>
    <row r="95" spans="1:38" hidden="1">
      <c r="A95" s="190">
        <v>3145</v>
      </c>
      <c r="B95" s="187" t="s">
        <v>24</v>
      </c>
      <c r="C95" s="187">
        <v>5</v>
      </c>
      <c r="D95" s="187">
        <v>1</v>
      </c>
      <c r="E95" s="187" t="s">
        <v>9</v>
      </c>
      <c r="F95" s="187" t="s">
        <v>85</v>
      </c>
      <c r="G95" s="133">
        <v>43158</v>
      </c>
      <c r="H95" s="133">
        <v>43158</v>
      </c>
      <c r="I95" s="6"/>
      <c r="J95" s="92">
        <v>1</v>
      </c>
      <c r="K95" s="153">
        <v>1</v>
      </c>
      <c r="L95" s="157">
        <f t="shared" si="2"/>
        <v>0</v>
      </c>
      <c r="M95" s="161">
        <f t="shared" si="3"/>
        <v>0</v>
      </c>
      <c r="N95" s="32"/>
      <c r="O95" s="19"/>
      <c r="P95" s="6"/>
      <c r="Q95" s="30"/>
      <c r="R95" s="30"/>
      <c r="S95" s="30"/>
      <c r="T95" s="30"/>
      <c r="U95" s="30"/>
      <c r="V95" s="30"/>
      <c r="W95" s="40"/>
      <c r="AL95" s="45"/>
    </row>
    <row r="96" spans="1:38" hidden="1">
      <c r="A96" s="190">
        <v>3183</v>
      </c>
      <c r="B96" s="187" t="s">
        <v>24</v>
      </c>
      <c r="C96" s="187">
        <v>6</v>
      </c>
      <c r="D96" s="187">
        <v>1</v>
      </c>
      <c r="E96" s="187" t="s">
        <v>519</v>
      </c>
      <c r="F96" s="187" t="s">
        <v>422</v>
      </c>
      <c r="G96" s="133">
        <v>43158</v>
      </c>
      <c r="H96" s="133">
        <v>43158</v>
      </c>
      <c r="I96" s="6"/>
      <c r="J96" s="92">
        <v>1</v>
      </c>
      <c r="K96" s="153">
        <v>1</v>
      </c>
      <c r="L96" s="157">
        <f>SUM(P96:W96)</f>
        <v>0</v>
      </c>
      <c r="M96" s="161">
        <f>L96/$L$2</f>
        <v>0</v>
      </c>
      <c r="N96" s="32"/>
      <c r="O96" s="19"/>
      <c r="P96" s="6"/>
      <c r="Q96" s="30"/>
      <c r="R96" s="30"/>
      <c r="S96" s="30"/>
      <c r="T96" s="30"/>
      <c r="U96" s="30"/>
      <c r="V96" s="30"/>
      <c r="W96" s="40"/>
      <c r="AL96" s="45"/>
    </row>
    <row r="97" spans="1:38" hidden="1">
      <c r="A97" s="190">
        <v>3144</v>
      </c>
      <c r="B97" s="187" t="s">
        <v>24</v>
      </c>
      <c r="C97" s="187">
        <v>7</v>
      </c>
      <c r="D97" s="187">
        <v>2</v>
      </c>
      <c r="E97" s="187" t="s">
        <v>520</v>
      </c>
      <c r="F97" s="187" t="s">
        <v>423</v>
      </c>
      <c r="G97" s="133">
        <v>43158</v>
      </c>
      <c r="H97" s="133">
        <v>43158</v>
      </c>
      <c r="I97" s="6" t="s">
        <v>223</v>
      </c>
      <c r="J97" s="92">
        <v>1</v>
      </c>
      <c r="K97" s="153">
        <v>1</v>
      </c>
      <c r="L97" s="157">
        <f t="shared" si="2"/>
        <v>0</v>
      </c>
      <c r="M97" s="161">
        <f t="shared" si="3"/>
        <v>0</v>
      </c>
      <c r="N97" s="32">
        <v>1</v>
      </c>
      <c r="O97" s="19">
        <v>43167</v>
      </c>
      <c r="P97" s="6"/>
      <c r="Q97" s="30"/>
      <c r="R97" s="30"/>
      <c r="S97" s="30"/>
      <c r="T97" s="30"/>
      <c r="U97" s="30"/>
      <c r="V97" s="30"/>
      <c r="W97" s="40"/>
      <c r="AL97" s="45"/>
    </row>
    <row r="98" spans="1:38" hidden="1">
      <c r="A98" s="190">
        <v>3146</v>
      </c>
      <c r="B98" s="187" t="s">
        <v>24</v>
      </c>
      <c r="C98" s="187">
        <v>8</v>
      </c>
      <c r="D98" s="187">
        <v>1</v>
      </c>
      <c r="E98" s="187" t="s">
        <v>521</v>
      </c>
      <c r="F98" s="187" t="s">
        <v>424</v>
      </c>
      <c r="G98" s="133">
        <v>43158</v>
      </c>
      <c r="H98" s="133">
        <v>43158</v>
      </c>
      <c r="I98" s="19"/>
      <c r="J98" s="92">
        <v>1</v>
      </c>
      <c r="K98" s="153">
        <v>1</v>
      </c>
      <c r="L98" s="157">
        <f>SUM(P98:W98)</f>
        <v>0</v>
      </c>
      <c r="M98" s="161">
        <f t="shared" si="3"/>
        <v>0</v>
      </c>
      <c r="N98" s="32"/>
      <c r="O98" s="19"/>
      <c r="P98" s="6"/>
      <c r="Q98" s="30"/>
      <c r="R98" s="30"/>
      <c r="S98" s="30"/>
      <c r="T98" s="30"/>
      <c r="U98" s="30"/>
      <c r="V98" s="30"/>
      <c r="W98" s="40"/>
      <c r="AL98" s="45"/>
    </row>
    <row r="99" spans="1:38" hidden="1">
      <c r="A99" s="190">
        <v>3147</v>
      </c>
      <c r="B99" s="187" t="s">
        <v>24</v>
      </c>
      <c r="C99" s="187">
        <v>9</v>
      </c>
      <c r="D99" s="187">
        <v>2</v>
      </c>
      <c r="E99" s="187" t="s">
        <v>190</v>
      </c>
      <c r="F99" s="187" t="s">
        <v>425</v>
      </c>
      <c r="G99" s="133">
        <v>43158</v>
      </c>
      <c r="H99" s="133">
        <v>43158</v>
      </c>
      <c r="I99" s="19"/>
      <c r="J99" s="92">
        <v>1</v>
      </c>
      <c r="K99" s="153">
        <v>1</v>
      </c>
      <c r="L99" s="157">
        <f>SUM(P99:W99)</f>
        <v>24</v>
      </c>
      <c r="M99" s="161">
        <f>L99/$L$2</f>
        <v>0.96</v>
      </c>
      <c r="N99" s="32">
        <v>5</v>
      </c>
      <c r="O99" s="19">
        <v>43167</v>
      </c>
      <c r="P99" s="6">
        <v>1</v>
      </c>
      <c r="Q99" s="30">
        <v>2</v>
      </c>
      <c r="R99" s="30">
        <v>2</v>
      </c>
      <c r="S99" s="30">
        <v>1</v>
      </c>
      <c r="T99" s="30">
        <v>2</v>
      </c>
      <c r="U99" s="30">
        <v>5</v>
      </c>
      <c r="V99" s="30">
        <v>5</v>
      </c>
      <c r="W99" s="40">
        <v>6</v>
      </c>
      <c r="AL99" s="45"/>
    </row>
    <row r="100" spans="1:38" hidden="1">
      <c r="A100" s="190">
        <v>3148</v>
      </c>
      <c r="B100" s="187" t="s">
        <v>24</v>
      </c>
      <c r="C100" s="187">
        <v>10</v>
      </c>
      <c r="D100" s="187">
        <v>1</v>
      </c>
      <c r="E100" s="187" t="s">
        <v>497</v>
      </c>
      <c r="F100" s="187" t="s">
        <v>426</v>
      </c>
      <c r="G100" s="133">
        <v>43158</v>
      </c>
      <c r="H100" s="133">
        <v>43158</v>
      </c>
      <c r="I100" s="19"/>
      <c r="J100" s="92">
        <v>1</v>
      </c>
      <c r="K100" s="153">
        <v>1</v>
      </c>
      <c r="L100" s="157">
        <f t="shared" ref="L100:L127" si="4">SUM(P100:W100)</f>
        <v>0</v>
      </c>
      <c r="M100" s="161">
        <f t="shared" si="3"/>
        <v>0</v>
      </c>
      <c r="N100" s="32"/>
      <c r="O100" s="19"/>
      <c r="P100" s="6"/>
      <c r="Q100" s="30"/>
      <c r="R100" s="30"/>
      <c r="S100" s="30"/>
      <c r="T100" s="30"/>
      <c r="U100" s="30"/>
      <c r="V100" s="30"/>
      <c r="W100" s="40"/>
      <c r="AL100" s="45"/>
    </row>
    <row r="101" spans="1:38" hidden="1">
      <c r="A101" s="190">
        <v>3149</v>
      </c>
      <c r="B101" s="187" t="s">
        <v>24</v>
      </c>
      <c r="C101" s="187">
        <v>11</v>
      </c>
      <c r="D101" s="187">
        <v>1</v>
      </c>
      <c r="E101" s="187" t="s">
        <v>522</v>
      </c>
      <c r="F101" s="187" t="s">
        <v>427</v>
      </c>
      <c r="G101" s="133">
        <v>43158</v>
      </c>
      <c r="H101" s="133">
        <v>43158</v>
      </c>
      <c r="I101" s="19"/>
      <c r="J101" s="92">
        <v>1</v>
      </c>
      <c r="K101" s="153">
        <v>1</v>
      </c>
      <c r="L101" s="157">
        <f t="shared" si="4"/>
        <v>0</v>
      </c>
      <c r="M101" s="161">
        <f t="shared" si="3"/>
        <v>0</v>
      </c>
      <c r="N101" s="32"/>
      <c r="O101" s="19"/>
      <c r="P101" s="6"/>
      <c r="Q101" s="30"/>
      <c r="R101" s="30"/>
      <c r="S101" s="30"/>
      <c r="T101" s="30"/>
      <c r="U101" s="30"/>
      <c r="V101" s="30"/>
      <c r="W101" s="40"/>
      <c r="AL101" s="45"/>
    </row>
    <row r="102" spans="1:38" hidden="1">
      <c r="A102" s="190">
        <v>3175</v>
      </c>
      <c r="B102" s="187" t="s">
        <v>24</v>
      </c>
      <c r="C102" s="187">
        <v>12</v>
      </c>
      <c r="D102" s="187" t="s">
        <v>450</v>
      </c>
      <c r="E102" s="187" t="s">
        <v>547</v>
      </c>
      <c r="F102" s="187" t="s">
        <v>140</v>
      </c>
      <c r="G102" s="133">
        <v>43158</v>
      </c>
      <c r="H102" s="133">
        <v>43158</v>
      </c>
      <c r="I102" s="19"/>
      <c r="J102" s="92">
        <v>1</v>
      </c>
      <c r="K102" s="153">
        <v>1</v>
      </c>
      <c r="L102" s="157">
        <f>SUM(P102:W102)</f>
        <v>0</v>
      </c>
      <c r="M102" s="161">
        <f>L102/$L$2</f>
        <v>0</v>
      </c>
      <c r="N102" s="32"/>
      <c r="O102" s="19"/>
      <c r="P102" s="6"/>
      <c r="Q102" s="30"/>
      <c r="R102" s="30"/>
      <c r="S102" s="30"/>
      <c r="T102" s="30"/>
      <c r="U102" s="30"/>
      <c r="V102" s="30"/>
      <c r="W102" s="40"/>
      <c r="AL102" s="45"/>
    </row>
    <row r="103" spans="1:38" hidden="1">
      <c r="A103" s="190">
        <v>3150</v>
      </c>
      <c r="B103" s="187" t="s">
        <v>24</v>
      </c>
      <c r="C103" s="187">
        <v>13</v>
      </c>
      <c r="D103" s="187">
        <v>2</v>
      </c>
      <c r="E103" s="187" t="s">
        <v>537</v>
      </c>
      <c r="F103" s="187" t="s">
        <v>428</v>
      </c>
      <c r="G103" s="133">
        <v>43158</v>
      </c>
      <c r="H103" s="133">
        <v>43158</v>
      </c>
      <c r="I103" s="19"/>
      <c r="J103" s="92">
        <v>1</v>
      </c>
      <c r="K103" s="153">
        <v>1</v>
      </c>
      <c r="L103" s="157">
        <f t="shared" si="4"/>
        <v>19</v>
      </c>
      <c r="M103" s="161">
        <f t="shared" si="3"/>
        <v>0.76</v>
      </c>
      <c r="N103" s="32">
        <v>4</v>
      </c>
      <c r="O103" s="19">
        <v>43167</v>
      </c>
      <c r="P103" s="6">
        <v>1</v>
      </c>
      <c r="Q103" s="30">
        <v>2</v>
      </c>
      <c r="R103" s="30">
        <v>2</v>
      </c>
      <c r="S103" s="30">
        <v>1</v>
      </c>
      <c r="T103" s="30">
        <v>2</v>
      </c>
      <c r="U103" s="30">
        <v>5</v>
      </c>
      <c r="V103" s="30">
        <v>0</v>
      </c>
      <c r="W103" s="40">
        <v>6</v>
      </c>
      <c r="AL103" s="45"/>
    </row>
    <row r="104" spans="1:38" hidden="1">
      <c r="A104" s="190">
        <v>3151</v>
      </c>
      <c r="B104" s="187" t="s">
        <v>24</v>
      </c>
      <c r="C104" s="187">
        <v>14</v>
      </c>
      <c r="D104" s="187">
        <v>2</v>
      </c>
      <c r="E104" s="187" t="s">
        <v>538</v>
      </c>
      <c r="F104" s="187" t="s">
        <v>429</v>
      </c>
      <c r="G104" s="133">
        <v>43158</v>
      </c>
      <c r="H104" s="133">
        <v>43158</v>
      </c>
      <c r="I104" s="6" t="s">
        <v>223</v>
      </c>
      <c r="J104" s="92">
        <v>1</v>
      </c>
      <c r="K104" s="153">
        <v>1</v>
      </c>
      <c r="L104" s="157">
        <f t="shared" si="4"/>
        <v>0</v>
      </c>
      <c r="M104" s="161">
        <f t="shared" si="3"/>
        <v>0</v>
      </c>
      <c r="N104" s="32">
        <v>1</v>
      </c>
      <c r="O104" s="19">
        <v>43167</v>
      </c>
      <c r="P104" s="6"/>
      <c r="Q104" s="30"/>
      <c r="R104" s="30"/>
      <c r="S104" s="30"/>
      <c r="T104" s="30"/>
      <c r="U104" s="30"/>
      <c r="V104" s="30"/>
      <c r="W104" s="40"/>
      <c r="AL104" s="45"/>
    </row>
    <row r="105" spans="1:38" hidden="1">
      <c r="A105" s="190">
        <v>3152</v>
      </c>
      <c r="B105" s="187" t="s">
        <v>24</v>
      </c>
      <c r="C105" s="187">
        <v>15</v>
      </c>
      <c r="D105" s="187" t="s">
        <v>450</v>
      </c>
      <c r="E105" s="187" t="s">
        <v>548</v>
      </c>
      <c r="F105" s="187" t="s">
        <v>430</v>
      </c>
      <c r="G105" s="133">
        <v>43158</v>
      </c>
      <c r="H105" s="133">
        <v>43158</v>
      </c>
      <c r="I105" s="19"/>
      <c r="J105" s="92">
        <v>1</v>
      </c>
      <c r="K105" s="153">
        <v>1</v>
      </c>
      <c r="L105" s="157">
        <f t="shared" si="4"/>
        <v>0</v>
      </c>
      <c r="M105" s="161">
        <f t="shared" si="3"/>
        <v>0</v>
      </c>
      <c r="N105" s="32"/>
      <c r="O105" s="19"/>
      <c r="P105" s="6"/>
      <c r="Q105" s="30"/>
      <c r="R105" s="30"/>
      <c r="S105" s="30"/>
      <c r="T105" s="30"/>
      <c r="U105" s="30"/>
      <c r="V105" s="30"/>
      <c r="W105" s="40"/>
      <c r="AL105" s="45"/>
    </row>
    <row r="106" spans="1:38" hidden="1">
      <c r="A106" s="190">
        <v>3153</v>
      </c>
      <c r="B106" s="187" t="s">
        <v>24</v>
      </c>
      <c r="C106" s="187">
        <v>16</v>
      </c>
      <c r="D106" s="187">
        <v>1</v>
      </c>
      <c r="E106" s="187" t="s">
        <v>523</v>
      </c>
      <c r="F106" s="187" t="s">
        <v>431</v>
      </c>
      <c r="G106" s="133">
        <v>43158</v>
      </c>
      <c r="H106" s="133">
        <v>43158</v>
      </c>
      <c r="I106" s="6"/>
      <c r="J106" s="92">
        <v>1</v>
      </c>
      <c r="K106" s="153">
        <v>1</v>
      </c>
      <c r="L106" s="157">
        <f t="shared" si="4"/>
        <v>0</v>
      </c>
      <c r="M106" s="161">
        <f t="shared" si="3"/>
        <v>0</v>
      </c>
      <c r="N106" s="32"/>
      <c r="O106" s="19"/>
      <c r="P106" s="6"/>
      <c r="Q106" s="30"/>
      <c r="R106" s="30"/>
      <c r="S106" s="30"/>
      <c r="T106" s="30"/>
      <c r="U106" s="30"/>
      <c r="V106" s="30"/>
      <c r="W106" s="40"/>
      <c r="AL106" s="45"/>
    </row>
    <row r="107" spans="1:38" hidden="1">
      <c r="A107" s="190">
        <v>3154</v>
      </c>
      <c r="B107" s="187" t="s">
        <v>24</v>
      </c>
      <c r="C107" s="187">
        <v>17</v>
      </c>
      <c r="D107" s="187">
        <v>1</v>
      </c>
      <c r="E107" s="187" t="s">
        <v>524</v>
      </c>
      <c r="F107" s="187" t="s">
        <v>432</v>
      </c>
      <c r="G107" s="133">
        <v>43158</v>
      </c>
      <c r="H107" s="133">
        <v>43158</v>
      </c>
      <c r="I107" s="6"/>
      <c r="J107" s="92">
        <v>1</v>
      </c>
      <c r="K107" s="153">
        <v>1</v>
      </c>
      <c r="L107" s="157">
        <f t="shared" si="4"/>
        <v>0</v>
      </c>
      <c r="M107" s="161">
        <f t="shared" si="3"/>
        <v>0</v>
      </c>
      <c r="N107" s="32"/>
      <c r="O107" s="19"/>
      <c r="P107" s="6"/>
      <c r="Q107" s="30"/>
      <c r="R107" s="30"/>
      <c r="S107" s="30"/>
      <c r="T107" s="30"/>
      <c r="U107" s="30"/>
      <c r="V107" s="30"/>
      <c r="W107" s="40"/>
      <c r="AL107" s="45"/>
    </row>
    <row r="108" spans="1:38" hidden="1">
      <c r="A108" s="190">
        <v>3192</v>
      </c>
      <c r="B108" s="187" t="s">
        <v>24</v>
      </c>
      <c r="C108" s="187">
        <v>18</v>
      </c>
      <c r="D108" s="187">
        <v>2</v>
      </c>
      <c r="E108" s="187" t="s">
        <v>525</v>
      </c>
      <c r="F108" s="187" t="s">
        <v>526</v>
      </c>
      <c r="G108" s="133">
        <v>43158</v>
      </c>
      <c r="H108" s="133">
        <v>43158</v>
      </c>
      <c r="I108" s="6" t="s">
        <v>223</v>
      </c>
      <c r="J108" s="92">
        <v>1</v>
      </c>
      <c r="K108" s="153">
        <v>1</v>
      </c>
      <c r="L108" s="157">
        <f t="shared" si="4"/>
        <v>0</v>
      </c>
      <c r="M108" s="161">
        <f t="shared" si="3"/>
        <v>0</v>
      </c>
      <c r="N108" s="32">
        <v>1</v>
      </c>
      <c r="O108" s="19">
        <v>43167</v>
      </c>
      <c r="P108" s="6"/>
      <c r="Q108" s="30"/>
      <c r="R108" s="30"/>
      <c r="S108" s="30"/>
      <c r="T108" s="30"/>
      <c r="U108" s="30"/>
      <c r="V108" s="30"/>
      <c r="W108" s="40"/>
      <c r="AL108" s="45"/>
    </row>
    <row r="109" spans="1:38" hidden="1">
      <c r="A109" s="190">
        <v>3155</v>
      </c>
      <c r="B109" s="187" t="s">
        <v>24</v>
      </c>
      <c r="C109" s="187">
        <v>19</v>
      </c>
      <c r="D109" s="187">
        <v>2</v>
      </c>
      <c r="E109" s="187" t="s">
        <v>539</v>
      </c>
      <c r="F109" s="187" t="s">
        <v>433</v>
      </c>
      <c r="G109" s="133">
        <v>43158</v>
      </c>
      <c r="H109" s="133">
        <v>43158</v>
      </c>
      <c r="I109" s="19"/>
      <c r="J109" s="92">
        <v>1</v>
      </c>
      <c r="K109" s="153">
        <v>1</v>
      </c>
      <c r="L109" s="157">
        <f t="shared" si="4"/>
        <v>18</v>
      </c>
      <c r="M109" s="161">
        <f t="shared" si="3"/>
        <v>0.72</v>
      </c>
      <c r="N109" s="32" t="s">
        <v>30</v>
      </c>
      <c r="O109" s="19">
        <v>43167</v>
      </c>
      <c r="P109" s="6">
        <v>1</v>
      </c>
      <c r="Q109" s="30">
        <v>2</v>
      </c>
      <c r="R109" s="30">
        <v>2</v>
      </c>
      <c r="S109" s="30">
        <v>0</v>
      </c>
      <c r="T109" s="30">
        <v>2</v>
      </c>
      <c r="U109" s="30">
        <v>5</v>
      </c>
      <c r="V109" s="30">
        <v>0</v>
      </c>
      <c r="W109" s="40">
        <v>6</v>
      </c>
      <c r="AL109" s="45"/>
    </row>
    <row r="110" spans="1:38" hidden="1">
      <c r="A110" s="190">
        <v>3156</v>
      </c>
      <c r="B110" s="187" t="s">
        <v>24</v>
      </c>
      <c r="C110" s="187">
        <v>20</v>
      </c>
      <c r="D110" s="187">
        <v>2</v>
      </c>
      <c r="E110" s="187" t="s">
        <v>507</v>
      </c>
      <c r="F110" s="187" t="s">
        <v>434</v>
      </c>
      <c r="G110" s="133">
        <v>43158</v>
      </c>
      <c r="H110" s="133">
        <v>43158</v>
      </c>
      <c r="I110" s="6"/>
      <c r="J110" s="92">
        <v>1</v>
      </c>
      <c r="K110" s="153">
        <v>1</v>
      </c>
      <c r="L110" s="157">
        <f t="shared" si="4"/>
        <v>25</v>
      </c>
      <c r="M110" s="161">
        <f t="shared" si="3"/>
        <v>1</v>
      </c>
      <c r="N110" s="32" t="s">
        <v>36</v>
      </c>
      <c r="O110" s="19">
        <v>43167</v>
      </c>
      <c r="P110" s="6">
        <v>1</v>
      </c>
      <c r="Q110" s="30">
        <v>2</v>
      </c>
      <c r="R110" s="30">
        <v>2</v>
      </c>
      <c r="S110" s="30">
        <v>2</v>
      </c>
      <c r="T110" s="30">
        <v>2</v>
      </c>
      <c r="U110" s="30">
        <v>5</v>
      </c>
      <c r="V110" s="30">
        <v>5</v>
      </c>
      <c r="W110" s="40">
        <v>6</v>
      </c>
      <c r="AL110" s="45"/>
    </row>
    <row r="111" spans="1:38" hidden="1">
      <c r="A111" s="190">
        <v>3157</v>
      </c>
      <c r="B111" s="187" t="s">
        <v>24</v>
      </c>
      <c r="C111" s="187">
        <v>21</v>
      </c>
      <c r="D111" s="187">
        <v>1</v>
      </c>
      <c r="E111" s="187" t="s">
        <v>527</v>
      </c>
      <c r="F111" s="187" t="s">
        <v>435</v>
      </c>
      <c r="G111" s="133">
        <v>43158</v>
      </c>
      <c r="H111" s="133">
        <v>43158</v>
      </c>
      <c r="I111" s="6"/>
      <c r="J111" s="92">
        <v>1</v>
      </c>
      <c r="K111" s="153">
        <v>1</v>
      </c>
      <c r="L111" s="157">
        <f>SUM(P111:W111)</f>
        <v>0</v>
      </c>
      <c r="M111" s="161">
        <f>L111/$L$2</f>
        <v>0</v>
      </c>
      <c r="N111" s="32"/>
      <c r="O111" s="19"/>
      <c r="P111" s="6"/>
      <c r="Q111" s="30"/>
      <c r="R111" s="30"/>
      <c r="S111" s="30"/>
      <c r="T111" s="30"/>
      <c r="U111" s="30"/>
      <c r="V111" s="30"/>
      <c r="W111" s="40"/>
      <c r="AL111" s="45"/>
    </row>
    <row r="112" spans="1:38" hidden="1">
      <c r="A112" s="190">
        <v>3172</v>
      </c>
      <c r="B112" s="187" t="s">
        <v>24</v>
      </c>
      <c r="C112" s="187">
        <v>22</v>
      </c>
      <c r="D112" s="187">
        <v>1</v>
      </c>
      <c r="E112" s="187" t="s">
        <v>47</v>
      </c>
      <c r="F112" s="187" t="s">
        <v>436</v>
      </c>
      <c r="G112" s="133">
        <v>43158</v>
      </c>
      <c r="H112" s="133">
        <v>43158</v>
      </c>
      <c r="I112" s="19"/>
      <c r="J112" s="92">
        <v>1</v>
      </c>
      <c r="K112" s="153">
        <v>1</v>
      </c>
      <c r="L112" s="157">
        <f t="shared" si="4"/>
        <v>0</v>
      </c>
      <c r="M112" s="161">
        <f t="shared" si="3"/>
        <v>0</v>
      </c>
      <c r="N112" s="32"/>
      <c r="O112" s="19"/>
      <c r="P112" s="6"/>
      <c r="Q112" s="30"/>
      <c r="R112" s="30"/>
      <c r="S112" s="30"/>
      <c r="T112" s="30"/>
      <c r="U112" s="30"/>
      <c r="V112" s="30"/>
      <c r="W112" s="40"/>
      <c r="AL112" s="45"/>
    </row>
    <row r="113" spans="1:38" hidden="1">
      <c r="A113" s="190">
        <v>3158</v>
      </c>
      <c r="B113" s="187" t="s">
        <v>24</v>
      </c>
      <c r="C113" s="187">
        <v>23</v>
      </c>
      <c r="D113" s="187">
        <v>2</v>
      </c>
      <c r="E113" s="187" t="s">
        <v>540</v>
      </c>
      <c r="F113" s="187" t="s">
        <v>437</v>
      </c>
      <c r="G113" s="133">
        <v>43158</v>
      </c>
      <c r="H113" s="133">
        <v>43158</v>
      </c>
      <c r="I113" s="172"/>
      <c r="J113" s="92">
        <v>1</v>
      </c>
      <c r="K113" s="153">
        <v>1</v>
      </c>
      <c r="L113" s="157">
        <f t="shared" si="4"/>
        <v>25</v>
      </c>
      <c r="M113" s="161">
        <f t="shared" si="3"/>
        <v>1</v>
      </c>
      <c r="N113" s="32" t="s">
        <v>36</v>
      </c>
      <c r="O113" s="19">
        <v>43167</v>
      </c>
      <c r="P113" s="6">
        <v>1</v>
      </c>
      <c r="Q113" s="30">
        <v>2</v>
      </c>
      <c r="R113" s="30">
        <v>2</v>
      </c>
      <c r="S113" s="30">
        <v>2</v>
      </c>
      <c r="T113" s="30">
        <v>2</v>
      </c>
      <c r="U113" s="30">
        <v>5</v>
      </c>
      <c r="V113" s="30">
        <v>5</v>
      </c>
      <c r="W113" s="40">
        <v>6</v>
      </c>
      <c r="AL113" s="45"/>
    </row>
    <row r="114" spans="1:38" hidden="1">
      <c r="A114" s="190">
        <v>3065</v>
      </c>
      <c r="B114" s="187" t="s">
        <v>24</v>
      </c>
      <c r="C114" s="187">
        <v>24</v>
      </c>
      <c r="D114" s="187">
        <v>2</v>
      </c>
      <c r="E114" s="187" t="s">
        <v>535</v>
      </c>
      <c r="F114" s="187" t="s">
        <v>344</v>
      </c>
      <c r="G114" s="133">
        <v>43158</v>
      </c>
      <c r="H114" s="133">
        <v>43158</v>
      </c>
      <c r="I114" s="19"/>
      <c r="J114" s="92">
        <v>1</v>
      </c>
      <c r="K114" s="153">
        <v>1</v>
      </c>
      <c r="L114" s="157">
        <f t="shared" si="4"/>
        <v>19</v>
      </c>
      <c r="M114" s="161">
        <f t="shared" si="3"/>
        <v>0.76</v>
      </c>
      <c r="N114" s="32">
        <v>4</v>
      </c>
      <c r="O114" s="19">
        <v>43167</v>
      </c>
      <c r="P114" s="6">
        <v>1</v>
      </c>
      <c r="Q114" s="30">
        <v>1</v>
      </c>
      <c r="R114" s="30">
        <v>2</v>
      </c>
      <c r="S114" s="30">
        <v>2</v>
      </c>
      <c r="T114" s="30">
        <v>2</v>
      </c>
      <c r="U114" s="30">
        <v>0</v>
      </c>
      <c r="V114" s="30">
        <v>5</v>
      </c>
      <c r="W114" s="40">
        <v>6</v>
      </c>
      <c r="AL114" s="45"/>
    </row>
    <row r="115" spans="1:38" hidden="1">
      <c r="A115" s="190">
        <v>3160</v>
      </c>
      <c r="B115" s="187" t="s">
        <v>24</v>
      </c>
      <c r="C115" s="187">
        <v>25</v>
      </c>
      <c r="D115" s="187">
        <v>2</v>
      </c>
      <c r="E115" s="187" t="s">
        <v>541</v>
      </c>
      <c r="F115" s="187" t="s">
        <v>438</v>
      </c>
      <c r="G115" s="133">
        <v>43158</v>
      </c>
      <c r="H115" s="133">
        <v>43158</v>
      </c>
      <c r="I115" s="19"/>
      <c r="J115" s="92">
        <v>1</v>
      </c>
      <c r="K115" s="153">
        <v>1</v>
      </c>
      <c r="L115" s="157">
        <f>SUM(P115:W115)</f>
        <v>23</v>
      </c>
      <c r="M115" s="161">
        <f>L115/$L$2</f>
        <v>0.92</v>
      </c>
      <c r="N115" s="32">
        <v>5</v>
      </c>
      <c r="O115" s="19">
        <v>43167</v>
      </c>
      <c r="P115" s="6">
        <v>1</v>
      </c>
      <c r="Q115" s="30">
        <v>2</v>
      </c>
      <c r="R115" s="30">
        <v>2</v>
      </c>
      <c r="S115" s="30">
        <v>0</v>
      </c>
      <c r="T115" s="30">
        <v>2</v>
      </c>
      <c r="U115" s="30">
        <v>5</v>
      </c>
      <c r="V115" s="30">
        <v>5</v>
      </c>
      <c r="W115" s="40">
        <v>6</v>
      </c>
      <c r="AL115" s="45"/>
    </row>
    <row r="116" spans="1:38" hidden="1">
      <c r="A116" s="190">
        <v>3159</v>
      </c>
      <c r="B116" s="187" t="s">
        <v>24</v>
      </c>
      <c r="C116" s="187">
        <v>26</v>
      </c>
      <c r="D116" s="187">
        <v>2</v>
      </c>
      <c r="E116" s="187" t="s">
        <v>542</v>
      </c>
      <c r="F116" s="187" t="s">
        <v>439</v>
      </c>
      <c r="G116" s="133">
        <v>43158</v>
      </c>
      <c r="H116" s="133">
        <v>43158</v>
      </c>
      <c r="I116" s="19"/>
      <c r="J116" s="92">
        <v>1</v>
      </c>
      <c r="K116" s="153">
        <v>1</v>
      </c>
      <c r="L116" s="157">
        <f t="shared" si="4"/>
        <v>17</v>
      </c>
      <c r="M116" s="161">
        <f t="shared" si="3"/>
        <v>0.68</v>
      </c>
      <c r="N116" s="32" t="s">
        <v>32</v>
      </c>
      <c r="O116" s="19">
        <v>43167</v>
      </c>
      <c r="P116" s="6">
        <v>1</v>
      </c>
      <c r="Q116" s="30">
        <v>1</v>
      </c>
      <c r="R116" s="30">
        <v>2</v>
      </c>
      <c r="S116" s="30">
        <v>0</v>
      </c>
      <c r="T116" s="30">
        <v>2</v>
      </c>
      <c r="U116" s="30">
        <v>5</v>
      </c>
      <c r="V116" s="30">
        <v>0</v>
      </c>
      <c r="W116" s="40">
        <v>6</v>
      </c>
      <c r="AL116" s="45"/>
    </row>
    <row r="117" spans="1:38" hidden="1">
      <c r="A117" s="190">
        <v>3161</v>
      </c>
      <c r="B117" s="187" t="s">
        <v>24</v>
      </c>
      <c r="C117" s="187">
        <v>27</v>
      </c>
      <c r="D117" s="187">
        <v>1</v>
      </c>
      <c r="E117" s="187" t="s">
        <v>528</v>
      </c>
      <c r="F117" s="187" t="s">
        <v>440</v>
      </c>
      <c r="G117" s="133">
        <v>43158</v>
      </c>
      <c r="H117" s="133">
        <v>43158</v>
      </c>
      <c r="I117" s="6"/>
      <c r="J117" s="92">
        <v>1</v>
      </c>
      <c r="K117" s="153">
        <v>1</v>
      </c>
      <c r="L117" s="157">
        <f t="shared" si="4"/>
        <v>0</v>
      </c>
      <c r="M117" s="161">
        <f t="shared" si="3"/>
        <v>0</v>
      </c>
      <c r="N117" s="32"/>
      <c r="O117" s="19"/>
      <c r="P117" s="6"/>
      <c r="Q117" s="30"/>
      <c r="R117" s="30"/>
      <c r="S117" s="30"/>
      <c r="T117" s="30"/>
      <c r="U117" s="30"/>
      <c r="V117" s="30"/>
      <c r="W117" s="40"/>
      <c r="AL117" s="45"/>
    </row>
    <row r="118" spans="1:38" hidden="1">
      <c r="A118" s="190">
        <v>3162</v>
      </c>
      <c r="B118" s="187" t="s">
        <v>24</v>
      </c>
      <c r="C118" s="187">
        <v>28</v>
      </c>
      <c r="D118" s="187">
        <v>1</v>
      </c>
      <c r="E118" s="187" t="s">
        <v>529</v>
      </c>
      <c r="F118" s="187" t="s">
        <v>441</v>
      </c>
      <c r="G118" s="133">
        <v>43158</v>
      </c>
      <c r="H118" s="133">
        <v>43158</v>
      </c>
      <c r="I118" s="172"/>
      <c r="J118" s="92">
        <v>1</v>
      </c>
      <c r="K118" s="153">
        <v>1</v>
      </c>
      <c r="L118" s="157">
        <f t="shared" si="4"/>
        <v>0</v>
      </c>
      <c r="M118" s="161">
        <f t="shared" si="3"/>
        <v>0</v>
      </c>
      <c r="N118" s="32"/>
      <c r="O118" s="19"/>
      <c r="P118" s="6"/>
      <c r="Q118" s="30"/>
      <c r="R118" s="30"/>
      <c r="S118" s="30"/>
      <c r="T118" s="30"/>
      <c r="U118" s="30"/>
      <c r="V118" s="30"/>
      <c r="W118" s="40"/>
      <c r="AL118" s="45"/>
    </row>
    <row r="119" spans="1:38" hidden="1">
      <c r="A119" s="190">
        <v>3163</v>
      </c>
      <c r="B119" s="187" t="s">
        <v>24</v>
      </c>
      <c r="C119" s="187">
        <v>29</v>
      </c>
      <c r="D119" s="187">
        <v>1</v>
      </c>
      <c r="E119" s="187" t="s">
        <v>530</v>
      </c>
      <c r="F119" s="187" t="s">
        <v>442</v>
      </c>
      <c r="G119" s="133">
        <v>43158</v>
      </c>
      <c r="H119" s="133">
        <v>43158</v>
      </c>
      <c r="I119" s="19"/>
      <c r="J119" s="92">
        <v>1</v>
      </c>
      <c r="K119" s="153">
        <v>1</v>
      </c>
      <c r="L119" s="157">
        <f t="shared" si="4"/>
        <v>0</v>
      </c>
      <c r="M119" s="161">
        <f t="shared" si="3"/>
        <v>0</v>
      </c>
      <c r="N119" s="32"/>
      <c r="O119" s="19"/>
      <c r="P119" s="6"/>
      <c r="Q119" s="30"/>
      <c r="R119" s="30"/>
      <c r="S119" s="30"/>
      <c r="T119" s="30"/>
      <c r="U119" s="30"/>
      <c r="V119" s="30"/>
      <c r="W119" s="40"/>
      <c r="AL119" s="45"/>
    </row>
    <row r="120" spans="1:38" hidden="1">
      <c r="A120" s="190">
        <v>3164</v>
      </c>
      <c r="B120" s="187" t="s">
        <v>24</v>
      </c>
      <c r="C120" s="187">
        <v>30</v>
      </c>
      <c r="D120" s="187">
        <v>2</v>
      </c>
      <c r="E120" s="187" t="s">
        <v>543</v>
      </c>
      <c r="F120" s="187" t="s">
        <v>443</v>
      </c>
      <c r="G120" s="133">
        <v>43158</v>
      </c>
      <c r="H120" s="133">
        <v>43158</v>
      </c>
      <c r="I120" s="19" t="s">
        <v>553</v>
      </c>
      <c r="J120" s="92">
        <v>1</v>
      </c>
      <c r="K120" s="153">
        <v>1</v>
      </c>
      <c r="L120" s="157">
        <f>SUM(P120:W120)</f>
        <v>0</v>
      </c>
      <c r="M120" s="161">
        <f>L120/$L$2</f>
        <v>0</v>
      </c>
      <c r="N120" s="32"/>
      <c r="O120" s="19"/>
      <c r="P120" s="6"/>
      <c r="Q120" s="30"/>
      <c r="R120" s="30"/>
      <c r="S120" s="30"/>
      <c r="T120" s="30"/>
      <c r="U120" s="30"/>
      <c r="V120" s="30"/>
      <c r="W120" s="40"/>
      <c r="AL120" s="45"/>
    </row>
    <row r="121" spans="1:38" hidden="1">
      <c r="A121" s="190">
        <v>3165</v>
      </c>
      <c r="B121" s="187" t="s">
        <v>24</v>
      </c>
      <c r="C121" s="187">
        <v>31</v>
      </c>
      <c r="D121" s="187">
        <v>1</v>
      </c>
      <c r="E121" s="187" t="s">
        <v>531</v>
      </c>
      <c r="F121" s="187" t="s">
        <v>444</v>
      </c>
      <c r="G121" s="133">
        <v>43158</v>
      </c>
      <c r="H121" s="133">
        <v>43158</v>
      </c>
      <c r="I121" s="6"/>
      <c r="J121" s="92">
        <v>1</v>
      </c>
      <c r="K121" s="153">
        <v>1</v>
      </c>
      <c r="L121" s="157">
        <f t="shared" si="4"/>
        <v>0</v>
      </c>
      <c r="M121" s="161">
        <f t="shared" si="3"/>
        <v>0</v>
      </c>
      <c r="N121" s="32"/>
      <c r="O121" s="19"/>
      <c r="P121" s="6"/>
      <c r="Q121" s="30"/>
      <c r="R121" s="30"/>
      <c r="S121" s="30"/>
      <c r="T121" s="30"/>
      <c r="U121" s="30"/>
      <c r="V121" s="30"/>
      <c r="W121" s="40"/>
      <c r="AL121" s="45"/>
    </row>
    <row r="122" spans="1:38" hidden="1">
      <c r="A122" s="190">
        <v>3166</v>
      </c>
      <c r="B122" s="187" t="s">
        <v>24</v>
      </c>
      <c r="C122" s="187">
        <v>32</v>
      </c>
      <c r="D122" s="187">
        <v>2</v>
      </c>
      <c r="E122" s="187" t="s">
        <v>186</v>
      </c>
      <c r="F122" s="187" t="s">
        <v>445</v>
      </c>
      <c r="G122" s="133">
        <v>43158</v>
      </c>
      <c r="H122" s="133">
        <v>43158</v>
      </c>
      <c r="I122" s="6"/>
      <c r="J122" s="92">
        <v>1</v>
      </c>
      <c r="K122" s="153">
        <v>1</v>
      </c>
      <c r="L122" s="157">
        <f t="shared" si="4"/>
        <v>24</v>
      </c>
      <c r="M122" s="161">
        <f t="shared" si="3"/>
        <v>0.96</v>
      </c>
      <c r="N122" s="32">
        <v>5</v>
      </c>
      <c r="O122" s="19">
        <v>43167</v>
      </c>
      <c r="P122" s="6">
        <v>1</v>
      </c>
      <c r="Q122" s="30">
        <v>2</v>
      </c>
      <c r="R122" s="30">
        <v>2</v>
      </c>
      <c r="S122" s="30">
        <v>2</v>
      </c>
      <c r="T122" s="30">
        <v>1</v>
      </c>
      <c r="U122" s="30">
        <v>5</v>
      </c>
      <c r="V122" s="30">
        <v>5</v>
      </c>
      <c r="W122" s="40">
        <v>6</v>
      </c>
      <c r="AL122" s="45"/>
    </row>
    <row r="123" spans="1:38" hidden="1">
      <c r="A123" s="190">
        <v>3167</v>
      </c>
      <c r="B123" s="187" t="s">
        <v>24</v>
      </c>
      <c r="C123" s="187">
        <v>33</v>
      </c>
      <c r="D123" s="187">
        <v>2</v>
      </c>
      <c r="E123" s="187" t="s">
        <v>544</v>
      </c>
      <c r="F123" s="187" t="s">
        <v>446</v>
      </c>
      <c r="G123" s="133">
        <v>43158</v>
      </c>
      <c r="H123" s="133">
        <v>43158</v>
      </c>
      <c r="I123" s="6" t="s">
        <v>553</v>
      </c>
      <c r="J123" s="92">
        <v>1</v>
      </c>
      <c r="K123" s="153">
        <v>1</v>
      </c>
      <c r="L123" s="157">
        <f t="shared" si="4"/>
        <v>0</v>
      </c>
      <c r="M123" s="161">
        <f t="shared" si="3"/>
        <v>0</v>
      </c>
      <c r="N123" s="32"/>
      <c r="O123" s="19"/>
      <c r="P123" s="6"/>
      <c r="Q123" s="30"/>
      <c r="R123" s="30"/>
      <c r="S123" s="30"/>
      <c r="T123" s="30"/>
      <c r="U123" s="30"/>
      <c r="V123" s="30"/>
      <c r="W123" s="40"/>
      <c r="AL123" s="45"/>
    </row>
    <row r="124" spans="1:38" hidden="1">
      <c r="A124" s="190">
        <v>3168</v>
      </c>
      <c r="B124" s="187" t="s">
        <v>24</v>
      </c>
      <c r="C124" s="187">
        <v>34</v>
      </c>
      <c r="D124" s="187">
        <v>2</v>
      </c>
      <c r="E124" s="187" t="s">
        <v>358</v>
      </c>
      <c r="F124" s="187" t="s">
        <v>59</v>
      </c>
      <c r="G124" s="133">
        <v>43158</v>
      </c>
      <c r="H124" s="133">
        <v>43158</v>
      </c>
      <c r="I124" s="6" t="s">
        <v>554</v>
      </c>
      <c r="J124" s="92">
        <v>1</v>
      </c>
      <c r="K124" s="153">
        <v>1</v>
      </c>
      <c r="L124" s="157">
        <f t="shared" si="4"/>
        <v>0</v>
      </c>
      <c r="M124" s="161">
        <f t="shared" si="3"/>
        <v>0</v>
      </c>
      <c r="N124" s="32"/>
      <c r="O124" s="19"/>
      <c r="P124" s="6"/>
      <c r="Q124" s="30"/>
      <c r="R124" s="30"/>
      <c r="S124" s="30"/>
      <c r="T124" s="30"/>
      <c r="U124" s="30"/>
      <c r="V124" s="30"/>
      <c r="W124" s="40"/>
      <c r="AL124" s="45"/>
    </row>
    <row r="125" spans="1:38" hidden="1">
      <c r="A125" s="190">
        <v>3169</v>
      </c>
      <c r="B125" s="187" t="s">
        <v>24</v>
      </c>
      <c r="C125" s="187">
        <v>35</v>
      </c>
      <c r="D125" s="187">
        <v>1</v>
      </c>
      <c r="E125" s="187" t="s">
        <v>532</v>
      </c>
      <c r="F125" s="187" t="s">
        <v>387</v>
      </c>
      <c r="G125" s="133">
        <v>43158</v>
      </c>
      <c r="H125" s="133">
        <v>43158</v>
      </c>
      <c r="I125" s="6"/>
      <c r="J125" s="92">
        <v>1</v>
      </c>
      <c r="K125" s="153">
        <v>1</v>
      </c>
      <c r="L125" s="157">
        <f t="shared" si="4"/>
        <v>0</v>
      </c>
      <c r="M125" s="161">
        <f t="shared" si="3"/>
        <v>0</v>
      </c>
      <c r="N125" s="32"/>
      <c r="O125" s="19"/>
      <c r="P125" s="6"/>
      <c r="Q125" s="30"/>
      <c r="R125" s="30"/>
      <c r="S125" s="30"/>
      <c r="T125" s="30"/>
      <c r="U125" s="30"/>
      <c r="V125" s="30"/>
      <c r="W125" s="40"/>
      <c r="AL125" s="45"/>
    </row>
    <row r="126" spans="1:38" hidden="1">
      <c r="A126" s="190">
        <v>3170</v>
      </c>
      <c r="B126" s="187" t="s">
        <v>24</v>
      </c>
      <c r="C126" s="187">
        <v>36</v>
      </c>
      <c r="D126" s="187">
        <v>1</v>
      </c>
      <c r="E126" s="187" t="s">
        <v>533</v>
      </c>
      <c r="F126" s="187" t="s">
        <v>447</v>
      </c>
      <c r="G126" s="133">
        <v>43158</v>
      </c>
      <c r="H126" s="133">
        <v>43158</v>
      </c>
      <c r="I126" s="6"/>
      <c r="J126" s="92">
        <v>1</v>
      </c>
      <c r="K126" s="153">
        <v>1</v>
      </c>
      <c r="L126" s="157">
        <f t="shared" si="4"/>
        <v>0</v>
      </c>
      <c r="M126" s="161">
        <f t="shared" si="3"/>
        <v>0</v>
      </c>
      <c r="N126" s="32"/>
      <c r="O126" s="19"/>
      <c r="P126" s="6"/>
      <c r="Q126" s="30"/>
      <c r="R126" s="30"/>
      <c r="S126" s="30"/>
      <c r="T126" s="30"/>
      <c r="U126" s="30"/>
      <c r="V126" s="30"/>
      <c r="W126" s="40"/>
      <c r="AL126" s="45"/>
    </row>
    <row r="127" spans="1:38" hidden="1">
      <c r="A127" s="190">
        <v>3171</v>
      </c>
      <c r="B127" s="187" t="s">
        <v>24</v>
      </c>
      <c r="C127" s="187">
        <v>37</v>
      </c>
      <c r="D127" s="187">
        <v>1</v>
      </c>
      <c r="E127" s="187" t="s">
        <v>534</v>
      </c>
      <c r="F127" s="187" t="s">
        <v>448</v>
      </c>
      <c r="G127" s="133">
        <v>43158</v>
      </c>
      <c r="H127" s="133">
        <v>43158</v>
      </c>
      <c r="I127" s="6"/>
      <c r="J127" s="92">
        <v>1</v>
      </c>
      <c r="K127" s="153">
        <v>1</v>
      </c>
      <c r="L127" s="157">
        <f t="shared" si="4"/>
        <v>0</v>
      </c>
      <c r="M127" s="161">
        <f t="shared" si="3"/>
        <v>0</v>
      </c>
      <c r="N127" s="32"/>
      <c r="O127" s="19"/>
      <c r="P127" s="6"/>
      <c r="Q127" s="30"/>
      <c r="R127" s="30"/>
      <c r="S127" s="30"/>
      <c r="T127" s="30"/>
      <c r="U127" s="30"/>
      <c r="V127" s="30"/>
      <c r="W127" s="40"/>
      <c r="AL127" s="45"/>
    </row>
    <row r="128" spans="1:38" ht="15" hidden="1" thickBot="1">
      <c r="A128" s="191">
        <v>3189</v>
      </c>
      <c r="B128" s="188" t="s">
        <v>24</v>
      </c>
      <c r="C128" s="188">
        <v>38</v>
      </c>
      <c r="D128" s="188">
        <v>2</v>
      </c>
      <c r="E128" s="188" t="s">
        <v>545</v>
      </c>
      <c r="F128" s="188" t="s">
        <v>546</v>
      </c>
      <c r="G128" s="128">
        <v>43158</v>
      </c>
      <c r="H128" s="128">
        <v>43158</v>
      </c>
      <c r="I128" s="24"/>
      <c r="J128" s="93">
        <v>1</v>
      </c>
      <c r="K128" s="154">
        <v>1</v>
      </c>
      <c r="L128" s="158">
        <f>SUM(P128:W128)</f>
        <v>24</v>
      </c>
      <c r="M128" s="162">
        <f>L128/$L$2</f>
        <v>0.96</v>
      </c>
      <c r="N128" s="51">
        <v>5</v>
      </c>
      <c r="O128" s="25">
        <v>43167</v>
      </c>
      <c r="P128" s="24">
        <v>1</v>
      </c>
      <c r="Q128" s="31">
        <v>2</v>
      </c>
      <c r="R128" s="31">
        <v>2</v>
      </c>
      <c r="S128" s="31">
        <v>1</v>
      </c>
      <c r="T128" s="31">
        <v>2</v>
      </c>
      <c r="U128" s="31">
        <v>5</v>
      </c>
      <c r="V128" s="31">
        <v>5</v>
      </c>
      <c r="W128" s="41">
        <v>6</v>
      </c>
      <c r="AL128" s="45"/>
    </row>
  </sheetData>
  <autoFilter ref="A1:N128">
    <filterColumn colId="1">
      <filters>
        <filter val="b"/>
      </filters>
    </filterColumn>
    <filterColumn colId="3">
      <filters>
        <filter val="1"/>
      </filters>
    </filterColumn>
  </autoFilter>
  <mergeCells count="6">
    <mergeCell ref="N1:N2"/>
    <mergeCell ref="J1:J2"/>
    <mergeCell ref="K1:K2"/>
    <mergeCell ref="M1:M2"/>
    <mergeCell ref="G1:G2"/>
    <mergeCell ref="H1:H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B133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B27" sqref="B27"/>
    </sheetView>
  </sheetViews>
  <sheetFormatPr defaultColWidth="9.109375" defaultRowHeight="14.4"/>
  <cols>
    <col min="1" max="4" width="5.6640625" style="10" customWidth="1"/>
    <col min="5" max="6" width="17.6640625" style="10" customWidth="1"/>
    <col min="7" max="8" width="14.88671875" style="10" customWidth="1"/>
    <col min="9" max="9" width="17.6640625" style="10" customWidth="1"/>
    <col min="10" max="10" width="5.6640625" style="10" customWidth="1"/>
    <col min="11" max="11" width="5.6640625" style="29" customWidth="1"/>
    <col min="12" max="12" width="5.6640625" style="10" customWidth="1"/>
    <col min="13" max="13" width="6.88671875" style="10" customWidth="1"/>
    <col min="14" max="14" width="5.6640625" style="29" customWidth="1"/>
    <col min="15" max="15" width="15.6640625" style="10" customWidth="1"/>
    <col min="16" max="27" width="4.6640625" style="10" customWidth="1"/>
    <col min="28" max="16384" width="9.109375" style="10"/>
  </cols>
  <sheetData>
    <row r="1" spans="1:27" ht="96">
      <c r="A1" s="596" t="s">
        <v>3</v>
      </c>
      <c r="B1" s="596" t="s">
        <v>4</v>
      </c>
      <c r="C1" s="596" t="s">
        <v>6</v>
      </c>
      <c r="D1" s="597" t="s">
        <v>5</v>
      </c>
      <c r="E1" s="596" t="s">
        <v>202</v>
      </c>
      <c r="F1" s="596" t="s">
        <v>42</v>
      </c>
      <c r="G1" s="583" t="s">
        <v>200</v>
      </c>
      <c r="H1" s="585" t="s">
        <v>201</v>
      </c>
      <c r="I1" s="168" t="s">
        <v>203</v>
      </c>
      <c r="J1" s="589" t="s">
        <v>204</v>
      </c>
      <c r="K1" s="587" t="s">
        <v>205</v>
      </c>
      <c r="L1" s="141" t="s">
        <v>206</v>
      </c>
      <c r="M1" s="591" t="s">
        <v>29</v>
      </c>
      <c r="N1" s="581" t="s">
        <v>28</v>
      </c>
      <c r="O1" s="230" t="s">
        <v>207</v>
      </c>
      <c r="P1" s="47" t="s">
        <v>194</v>
      </c>
      <c r="Q1" s="8" t="s">
        <v>69</v>
      </c>
      <c r="R1" s="228" t="s">
        <v>70</v>
      </c>
      <c r="S1" s="228" t="s">
        <v>71</v>
      </c>
      <c r="T1" s="9" t="s">
        <v>72</v>
      </c>
      <c r="U1" s="9" t="s">
        <v>556</v>
      </c>
      <c r="V1" s="228" t="s">
        <v>73</v>
      </c>
      <c r="W1" s="7" t="s">
        <v>74</v>
      </c>
      <c r="X1" s="7" t="s">
        <v>75</v>
      </c>
      <c r="Y1" s="7" t="s">
        <v>76</v>
      </c>
      <c r="Z1" s="7" t="s">
        <v>77</v>
      </c>
      <c r="AA1" s="9" t="s">
        <v>78</v>
      </c>
    </row>
    <row r="2" spans="1:27" ht="15" thickBot="1">
      <c r="A2" s="596"/>
      <c r="B2" s="596"/>
      <c r="C2" s="596"/>
      <c r="D2" s="598"/>
      <c r="E2" s="596"/>
      <c r="F2" s="596"/>
      <c r="G2" s="599"/>
      <c r="H2" s="595"/>
      <c r="I2" s="227"/>
      <c r="J2" s="600"/>
      <c r="K2" s="598"/>
      <c r="L2" s="182">
        <v>22</v>
      </c>
      <c r="M2" s="593"/>
      <c r="N2" s="594"/>
      <c r="O2" s="231"/>
      <c r="P2" s="12"/>
      <c r="Q2" s="229">
        <v>3</v>
      </c>
      <c r="R2" s="227">
        <v>2</v>
      </c>
      <c r="S2" s="227">
        <v>3</v>
      </c>
      <c r="T2" s="13">
        <v>2</v>
      </c>
      <c r="U2" s="13">
        <v>2</v>
      </c>
      <c r="V2" s="227">
        <v>2</v>
      </c>
      <c r="W2" s="11">
        <v>2</v>
      </c>
      <c r="X2" s="11">
        <v>1</v>
      </c>
      <c r="Y2" s="11">
        <v>1</v>
      </c>
      <c r="Z2" s="11">
        <v>2</v>
      </c>
      <c r="AA2" s="13">
        <v>2</v>
      </c>
    </row>
    <row r="3" spans="1:27" ht="15" hidden="1" thickBot="1">
      <c r="A3" s="189">
        <v>3056</v>
      </c>
      <c r="B3" s="186" t="s">
        <v>21</v>
      </c>
      <c r="C3" s="186">
        <v>1</v>
      </c>
      <c r="D3" s="186">
        <v>1</v>
      </c>
      <c r="E3" s="186" t="s">
        <v>452</v>
      </c>
      <c r="F3" s="186" t="s">
        <v>17</v>
      </c>
      <c r="G3" s="55">
        <v>43252</v>
      </c>
      <c r="H3" s="14">
        <v>43254</v>
      </c>
      <c r="I3" s="4" t="s">
        <v>449</v>
      </c>
      <c r="J3" s="94">
        <v>1</v>
      </c>
      <c r="K3" s="152">
        <v>1</v>
      </c>
      <c r="L3" s="156">
        <f t="shared" ref="L3:L35" si="0">SUM(P3:AA3)</f>
        <v>21</v>
      </c>
      <c r="M3" s="160">
        <f t="shared" ref="M3:M35" si="1">L3/$L$2</f>
        <v>0.95454545454545459</v>
      </c>
      <c r="N3" s="52">
        <v>5</v>
      </c>
      <c r="O3" s="139">
        <v>43257</v>
      </c>
      <c r="P3" s="16"/>
      <c r="Q3" s="3">
        <v>3</v>
      </c>
      <c r="R3" s="4">
        <v>2</v>
      </c>
      <c r="S3" s="4">
        <v>3</v>
      </c>
      <c r="T3" s="17">
        <v>2</v>
      </c>
      <c r="U3" s="17">
        <v>2</v>
      </c>
      <c r="V3" s="4">
        <v>2</v>
      </c>
      <c r="W3" s="4">
        <v>2</v>
      </c>
      <c r="X3" s="4">
        <v>1</v>
      </c>
      <c r="Y3" s="4">
        <v>1</v>
      </c>
      <c r="Z3" s="4">
        <v>1</v>
      </c>
      <c r="AA3" s="17">
        <v>2</v>
      </c>
    </row>
    <row r="4" spans="1:27" ht="15" hidden="1" thickBot="1">
      <c r="A4" s="190">
        <v>3057</v>
      </c>
      <c r="B4" s="187" t="s">
        <v>21</v>
      </c>
      <c r="C4" s="187">
        <v>2</v>
      </c>
      <c r="D4" s="187">
        <v>1</v>
      </c>
      <c r="E4" s="187" t="s">
        <v>334</v>
      </c>
      <c r="F4" s="187" t="s">
        <v>335</v>
      </c>
      <c r="G4" s="53">
        <v>43214</v>
      </c>
      <c r="H4" s="19">
        <v>43214</v>
      </c>
      <c r="I4" s="6"/>
      <c r="J4" s="92">
        <v>1</v>
      </c>
      <c r="K4" s="153">
        <v>1</v>
      </c>
      <c r="L4" s="157">
        <f t="shared" si="0"/>
        <v>11</v>
      </c>
      <c r="M4" s="161">
        <f t="shared" si="1"/>
        <v>0.5</v>
      </c>
      <c r="N4" s="32">
        <v>3</v>
      </c>
      <c r="O4" s="133">
        <v>43229</v>
      </c>
      <c r="P4" s="21">
        <v>-2</v>
      </c>
      <c r="Q4" s="5">
        <v>3</v>
      </c>
      <c r="R4" s="6">
        <v>2</v>
      </c>
      <c r="S4" s="6">
        <v>2</v>
      </c>
      <c r="T4" s="22">
        <v>2</v>
      </c>
      <c r="U4" s="22">
        <v>2</v>
      </c>
      <c r="V4" s="6">
        <v>2</v>
      </c>
      <c r="W4" s="6">
        <v>0</v>
      </c>
      <c r="X4" s="6">
        <v>0</v>
      </c>
      <c r="Y4" s="6">
        <v>0</v>
      </c>
      <c r="Z4" s="6">
        <v>0</v>
      </c>
      <c r="AA4" s="22">
        <v>0</v>
      </c>
    </row>
    <row r="5" spans="1:27" ht="15" hidden="1" thickBot="1">
      <c r="A5" s="190">
        <v>3058</v>
      </c>
      <c r="B5" s="187" t="s">
        <v>21</v>
      </c>
      <c r="C5" s="187">
        <v>3</v>
      </c>
      <c r="D5" s="187">
        <v>2</v>
      </c>
      <c r="E5" s="187" t="s">
        <v>459</v>
      </c>
      <c r="F5" s="187" t="s">
        <v>336</v>
      </c>
      <c r="G5" s="53">
        <v>43252</v>
      </c>
      <c r="H5" s="19"/>
      <c r="I5" s="6" t="s">
        <v>449</v>
      </c>
      <c r="J5" s="92">
        <v>1</v>
      </c>
      <c r="K5" s="153">
        <v>1</v>
      </c>
      <c r="L5" s="157">
        <f t="shared" si="0"/>
        <v>0</v>
      </c>
      <c r="M5" s="161">
        <f t="shared" si="1"/>
        <v>0</v>
      </c>
      <c r="N5" s="32">
        <v>1</v>
      </c>
      <c r="O5" s="19">
        <v>43252</v>
      </c>
      <c r="P5" s="21"/>
      <c r="Q5" s="5"/>
      <c r="R5" s="6"/>
      <c r="S5" s="6"/>
      <c r="T5" s="22"/>
      <c r="U5" s="22"/>
      <c r="V5" s="6"/>
      <c r="W5" s="6"/>
      <c r="X5" s="6"/>
      <c r="Y5" s="6"/>
      <c r="Z5" s="6"/>
      <c r="AA5" s="22"/>
    </row>
    <row r="6" spans="1:27" ht="15" hidden="1" thickBot="1">
      <c r="A6" s="190">
        <v>3059</v>
      </c>
      <c r="B6" s="187" t="s">
        <v>21</v>
      </c>
      <c r="C6" s="187">
        <v>4</v>
      </c>
      <c r="D6" s="187">
        <v>1</v>
      </c>
      <c r="E6" s="187" t="s">
        <v>40</v>
      </c>
      <c r="F6" s="187" t="s">
        <v>44</v>
      </c>
      <c r="G6" s="53">
        <v>43214</v>
      </c>
      <c r="H6" s="19">
        <v>43214</v>
      </c>
      <c r="I6" s="6"/>
      <c r="J6" s="92">
        <v>1</v>
      </c>
      <c r="K6" s="153">
        <v>1</v>
      </c>
      <c r="L6" s="157">
        <f t="shared" si="0"/>
        <v>20</v>
      </c>
      <c r="M6" s="161">
        <f t="shared" si="1"/>
        <v>0.90909090909090906</v>
      </c>
      <c r="N6" s="32" t="s">
        <v>36</v>
      </c>
      <c r="O6" s="19">
        <v>43229</v>
      </c>
      <c r="P6" s="21"/>
      <c r="Q6" s="5">
        <v>3</v>
      </c>
      <c r="R6" s="6">
        <v>2</v>
      </c>
      <c r="S6" s="6">
        <v>3</v>
      </c>
      <c r="T6" s="22">
        <v>2</v>
      </c>
      <c r="U6" s="22">
        <v>2</v>
      </c>
      <c r="V6" s="6">
        <v>2</v>
      </c>
      <c r="W6" s="6">
        <v>2</v>
      </c>
      <c r="X6" s="6">
        <v>0</v>
      </c>
      <c r="Y6" s="6">
        <v>0</v>
      </c>
      <c r="Z6" s="6">
        <v>2</v>
      </c>
      <c r="AA6" s="22">
        <v>2</v>
      </c>
    </row>
    <row r="7" spans="1:27" ht="15" hidden="1" thickBot="1">
      <c r="A7" s="190">
        <v>3187</v>
      </c>
      <c r="B7" s="187" t="s">
        <v>21</v>
      </c>
      <c r="C7" s="187">
        <v>5</v>
      </c>
      <c r="D7" s="187">
        <v>2</v>
      </c>
      <c r="E7" s="187" t="s">
        <v>460</v>
      </c>
      <c r="F7" s="187" t="s">
        <v>337</v>
      </c>
      <c r="G7" s="53">
        <v>43252</v>
      </c>
      <c r="H7" s="19"/>
      <c r="I7" s="6" t="s">
        <v>449</v>
      </c>
      <c r="J7" s="92">
        <v>1</v>
      </c>
      <c r="K7" s="153">
        <v>1</v>
      </c>
      <c r="L7" s="157">
        <f t="shared" si="0"/>
        <v>0</v>
      </c>
      <c r="M7" s="161">
        <f t="shared" si="1"/>
        <v>0</v>
      </c>
      <c r="N7" s="32">
        <v>1</v>
      </c>
      <c r="O7" s="19">
        <v>43252</v>
      </c>
      <c r="P7" s="21"/>
      <c r="Q7" s="5"/>
      <c r="R7" s="6"/>
      <c r="S7" s="6"/>
      <c r="T7" s="22"/>
      <c r="U7" s="22"/>
      <c r="V7" s="6"/>
      <c r="W7" s="6"/>
      <c r="X7" s="6"/>
      <c r="Y7" s="6"/>
      <c r="Z7" s="6"/>
      <c r="AA7" s="22"/>
    </row>
    <row r="8" spans="1:27" ht="15" hidden="1" thickBot="1">
      <c r="A8" s="190">
        <v>3060</v>
      </c>
      <c r="B8" s="187" t="s">
        <v>21</v>
      </c>
      <c r="C8" s="187">
        <v>6</v>
      </c>
      <c r="D8" s="187">
        <v>2</v>
      </c>
      <c r="E8" s="187" t="s">
        <v>461</v>
      </c>
      <c r="F8" s="187" t="s">
        <v>338</v>
      </c>
      <c r="G8" s="53">
        <v>43252</v>
      </c>
      <c r="H8" s="19">
        <v>43249</v>
      </c>
      <c r="I8" s="6"/>
      <c r="J8" s="92">
        <v>1</v>
      </c>
      <c r="K8" s="153">
        <v>1</v>
      </c>
      <c r="L8" s="157">
        <f t="shared" si="0"/>
        <v>19</v>
      </c>
      <c r="M8" s="161">
        <f t="shared" si="1"/>
        <v>0.86363636363636365</v>
      </c>
      <c r="N8" s="32">
        <v>5</v>
      </c>
      <c r="O8" s="19">
        <v>43252</v>
      </c>
      <c r="P8" s="21"/>
      <c r="Q8" s="5">
        <v>2</v>
      </c>
      <c r="R8" s="6">
        <v>2</v>
      </c>
      <c r="S8" s="6">
        <v>2</v>
      </c>
      <c r="T8" s="22">
        <v>2</v>
      </c>
      <c r="U8" s="22">
        <v>2</v>
      </c>
      <c r="V8" s="6">
        <v>2</v>
      </c>
      <c r="W8" s="6">
        <v>2</v>
      </c>
      <c r="X8" s="6">
        <v>1</v>
      </c>
      <c r="Y8" s="6">
        <v>1</v>
      </c>
      <c r="Z8" s="6">
        <v>1</v>
      </c>
      <c r="AA8" s="22">
        <v>2</v>
      </c>
    </row>
    <row r="9" spans="1:27" ht="15" hidden="1" thickBot="1">
      <c r="A9" s="190">
        <v>3061</v>
      </c>
      <c r="B9" s="187" t="s">
        <v>21</v>
      </c>
      <c r="C9" s="187">
        <v>7</v>
      </c>
      <c r="D9" s="187">
        <v>2</v>
      </c>
      <c r="E9" s="187" t="s">
        <v>48</v>
      </c>
      <c r="F9" s="187" t="s">
        <v>339</v>
      </c>
      <c r="G9" s="53">
        <v>43252</v>
      </c>
      <c r="H9" s="19">
        <v>43252</v>
      </c>
      <c r="I9" s="6"/>
      <c r="J9" s="92">
        <v>1</v>
      </c>
      <c r="K9" s="153">
        <v>1</v>
      </c>
      <c r="L9" s="157">
        <f t="shared" si="0"/>
        <v>18</v>
      </c>
      <c r="M9" s="161">
        <f t="shared" si="1"/>
        <v>0.81818181818181823</v>
      </c>
      <c r="N9" s="32" t="s">
        <v>33</v>
      </c>
      <c r="O9" s="19">
        <v>43252</v>
      </c>
      <c r="P9" s="21"/>
      <c r="Q9" s="5">
        <v>2</v>
      </c>
      <c r="R9" s="6">
        <v>2</v>
      </c>
      <c r="S9" s="6">
        <v>2</v>
      </c>
      <c r="T9" s="22">
        <v>2</v>
      </c>
      <c r="U9" s="22">
        <v>1</v>
      </c>
      <c r="V9" s="6">
        <v>2</v>
      </c>
      <c r="W9" s="6">
        <v>2</v>
      </c>
      <c r="X9" s="6">
        <v>1</v>
      </c>
      <c r="Y9" s="6">
        <v>1</v>
      </c>
      <c r="Z9" s="6">
        <v>1</v>
      </c>
      <c r="AA9" s="22">
        <v>2</v>
      </c>
    </row>
    <row r="10" spans="1:27" ht="15" hidden="1" thickBot="1">
      <c r="A10" s="190">
        <v>3062</v>
      </c>
      <c r="B10" s="187" t="s">
        <v>21</v>
      </c>
      <c r="C10" s="187">
        <v>8</v>
      </c>
      <c r="D10" s="187">
        <v>2</v>
      </c>
      <c r="E10" s="187" t="s">
        <v>340</v>
      </c>
      <c r="F10" s="187" t="s">
        <v>341</v>
      </c>
      <c r="G10" s="53">
        <v>43252</v>
      </c>
      <c r="H10" s="19"/>
      <c r="I10" s="6" t="s">
        <v>449</v>
      </c>
      <c r="J10" s="92">
        <v>1</v>
      </c>
      <c r="K10" s="153">
        <v>1</v>
      </c>
      <c r="L10" s="157">
        <f t="shared" si="0"/>
        <v>0</v>
      </c>
      <c r="M10" s="161">
        <f t="shared" si="1"/>
        <v>0</v>
      </c>
      <c r="N10" s="32">
        <v>1</v>
      </c>
      <c r="O10" s="133">
        <v>43252</v>
      </c>
      <c r="P10" s="21"/>
      <c r="Q10" s="5"/>
      <c r="R10" s="6"/>
      <c r="S10" s="6"/>
      <c r="T10" s="22"/>
      <c r="U10" s="22"/>
      <c r="V10" s="6"/>
      <c r="W10" s="6"/>
      <c r="X10" s="6"/>
      <c r="Y10" s="6"/>
      <c r="Z10" s="6"/>
      <c r="AA10" s="22"/>
    </row>
    <row r="11" spans="1:27" ht="15" hidden="1" thickBot="1">
      <c r="A11" s="190">
        <v>3063</v>
      </c>
      <c r="B11" s="187" t="s">
        <v>21</v>
      </c>
      <c r="C11" s="187">
        <v>9</v>
      </c>
      <c r="D11" s="187">
        <v>1</v>
      </c>
      <c r="E11" s="187" t="s">
        <v>188</v>
      </c>
      <c r="F11" s="187" t="s">
        <v>342</v>
      </c>
      <c r="G11" s="53">
        <v>43214</v>
      </c>
      <c r="H11" s="19">
        <v>43214</v>
      </c>
      <c r="I11" s="6"/>
      <c r="J11" s="92">
        <v>1</v>
      </c>
      <c r="K11" s="153">
        <v>1</v>
      </c>
      <c r="L11" s="157">
        <f t="shared" si="0"/>
        <v>20</v>
      </c>
      <c r="M11" s="161">
        <f t="shared" si="1"/>
        <v>0.90909090909090906</v>
      </c>
      <c r="N11" s="32" t="s">
        <v>36</v>
      </c>
      <c r="O11" s="133">
        <v>43229</v>
      </c>
      <c r="P11" s="21"/>
      <c r="Q11" s="5">
        <v>3</v>
      </c>
      <c r="R11" s="6">
        <v>2</v>
      </c>
      <c r="S11" s="6">
        <v>3</v>
      </c>
      <c r="T11" s="22">
        <v>2</v>
      </c>
      <c r="U11" s="22">
        <v>2</v>
      </c>
      <c r="V11" s="6">
        <v>2</v>
      </c>
      <c r="W11" s="6">
        <v>2</v>
      </c>
      <c r="X11" s="6">
        <v>0</v>
      </c>
      <c r="Y11" s="6">
        <v>0</v>
      </c>
      <c r="Z11" s="6">
        <v>2</v>
      </c>
      <c r="AA11" s="22">
        <v>2</v>
      </c>
    </row>
    <row r="12" spans="1:27" ht="15" hidden="1" thickBot="1">
      <c r="A12" s="190">
        <v>3064</v>
      </c>
      <c r="B12" s="187" t="s">
        <v>21</v>
      </c>
      <c r="C12" s="187">
        <v>10</v>
      </c>
      <c r="D12" s="187">
        <v>2</v>
      </c>
      <c r="E12" s="187" t="s">
        <v>462</v>
      </c>
      <c r="F12" s="187" t="s">
        <v>343</v>
      </c>
      <c r="G12" s="53">
        <v>43252</v>
      </c>
      <c r="H12" s="19">
        <v>43252</v>
      </c>
      <c r="I12" s="6"/>
      <c r="J12" s="92">
        <v>1</v>
      </c>
      <c r="K12" s="153">
        <v>1</v>
      </c>
      <c r="L12" s="157">
        <f t="shared" si="0"/>
        <v>17</v>
      </c>
      <c r="M12" s="161">
        <f t="shared" si="1"/>
        <v>0.77272727272727271</v>
      </c>
      <c r="N12" s="32" t="s">
        <v>34</v>
      </c>
      <c r="O12" s="19">
        <v>43252</v>
      </c>
      <c r="P12" s="21">
        <v>-2</v>
      </c>
      <c r="Q12" s="5">
        <v>2</v>
      </c>
      <c r="R12" s="6">
        <v>2</v>
      </c>
      <c r="S12" s="6">
        <v>2</v>
      </c>
      <c r="T12" s="22">
        <v>2</v>
      </c>
      <c r="U12" s="22">
        <v>2</v>
      </c>
      <c r="V12" s="6">
        <v>2</v>
      </c>
      <c r="W12" s="6">
        <v>2</v>
      </c>
      <c r="X12" s="6">
        <v>1</v>
      </c>
      <c r="Y12" s="6">
        <v>1</v>
      </c>
      <c r="Z12" s="6">
        <v>1</v>
      </c>
      <c r="AA12" s="22">
        <v>2</v>
      </c>
    </row>
    <row r="13" spans="1:27" ht="15" hidden="1" thickBot="1">
      <c r="A13" s="190">
        <v>3067</v>
      </c>
      <c r="B13" s="187" t="s">
        <v>21</v>
      </c>
      <c r="C13" s="187">
        <v>12</v>
      </c>
      <c r="D13" s="187">
        <v>1</v>
      </c>
      <c r="E13" s="187" t="s">
        <v>453</v>
      </c>
      <c r="F13" s="187" t="s">
        <v>345</v>
      </c>
      <c r="G13" s="53">
        <v>43252</v>
      </c>
      <c r="H13" s="19"/>
      <c r="I13" s="6" t="s">
        <v>449</v>
      </c>
      <c r="J13" s="92">
        <v>1</v>
      </c>
      <c r="K13" s="153">
        <v>1</v>
      </c>
      <c r="L13" s="157">
        <f t="shared" si="0"/>
        <v>0</v>
      </c>
      <c r="M13" s="161">
        <f t="shared" si="1"/>
        <v>0</v>
      </c>
      <c r="N13" s="32">
        <v>1</v>
      </c>
      <c r="O13" s="19">
        <v>43252</v>
      </c>
      <c r="P13" s="21"/>
      <c r="Q13" s="5"/>
      <c r="R13" s="6"/>
      <c r="S13" s="6"/>
      <c r="T13" s="22"/>
      <c r="U13" s="22"/>
      <c r="V13" s="6"/>
      <c r="W13" s="6"/>
      <c r="X13" s="6"/>
      <c r="Y13" s="6"/>
      <c r="Z13" s="6"/>
      <c r="AA13" s="22"/>
    </row>
    <row r="14" spans="1:27" ht="15" hidden="1" thickBot="1">
      <c r="A14" s="190">
        <v>3180</v>
      </c>
      <c r="B14" s="187" t="s">
        <v>21</v>
      </c>
      <c r="C14" s="187">
        <v>13</v>
      </c>
      <c r="D14" s="187">
        <v>1</v>
      </c>
      <c r="E14" s="187" t="s">
        <v>463</v>
      </c>
      <c r="F14" s="187" t="s">
        <v>346</v>
      </c>
      <c r="G14" s="53">
        <v>43252</v>
      </c>
      <c r="H14" s="19"/>
      <c r="I14" s="6" t="s">
        <v>449</v>
      </c>
      <c r="J14" s="92">
        <v>1</v>
      </c>
      <c r="K14" s="153">
        <v>1</v>
      </c>
      <c r="L14" s="157">
        <f t="shared" si="0"/>
        <v>0</v>
      </c>
      <c r="M14" s="161">
        <f t="shared" si="1"/>
        <v>0</v>
      </c>
      <c r="N14" s="32">
        <v>1</v>
      </c>
      <c r="O14" s="133">
        <v>43252</v>
      </c>
      <c r="P14" s="21"/>
      <c r="Q14" s="5"/>
      <c r="R14" s="6"/>
      <c r="S14" s="6"/>
      <c r="T14" s="22"/>
      <c r="U14" s="22"/>
      <c r="V14" s="6"/>
      <c r="W14" s="6"/>
      <c r="X14" s="6"/>
      <c r="Y14" s="6"/>
      <c r="Z14" s="6"/>
      <c r="AA14" s="22"/>
    </row>
    <row r="15" spans="1:27" ht="15" hidden="1" thickBot="1">
      <c r="A15" s="190">
        <v>3069</v>
      </c>
      <c r="B15" s="187" t="s">
        <v>21</v>
      </c>
      <c r="C15" s="187">
        <v>14</v>
      </c>
      <c r="D15" s="187">
        <v>1</v>
      </c>
      <c r="E15" s="187" t="s">
        <v>347</v>
      </c>
      <c r="F15" s="187" t="s">
        <v>348</v>
      </c>
      <c r="G15" s="53">
        <v>43252</v>
      </c>
      <c r="H15" s="19"/>
      <c r="I15" s="6" t="s">
        <v>449</v>
      </c>
      <c r="J15" s="92">
        <v>1</v>
      </c>
      <c r="K15" s="153">
        <v>1</v>
      </c>
      <c r="L15" s="157">
        <f t="shared" si="0"/>
        <v>0</v>
      </c>
      <c r="M15" s="161">
        <f t="shared" si="1"/>
        <v>0</v>
      </c>
      <c r="N15" s="32">
        <v>1</v>
      </c>
      <c r="O15" s="133">
        <v>43252</v>
      </c>
      <c r="P15" s="21"/>
      <c r="Q15" s="5"/>
      <c r="R15" s="6"/>
      <c r="S15" s="6"/>
      <c r="T15" s="22"/>
      <c r="U15" s="22"/>
      <c r="V15" s="6"/>
      <c r="W15" s="6"/>
      <c r="X15" s="6"/>
      <c r="Y15" s="6"/>
      <c r="Z15" s="6"/>
      <c r="AA15" s="22"/>
    </row>
    <row r="16" spans="1:27" ht="15" hidden="1" thickBot="1">
      <c r="A16" s="190">
        <v>3181</v>
      </c>
      <c r="B16" s="187" t="s">
        <v>21</v>
      </c>
      <c r="C16" s="187">
        <v>15</v>
      </c>
      <c r="D16" s="187">
        <v>2</v>
      </c>
      <c r="E16" s="187" t="s">
        <v>464</v>
      </c>
      <c r="F16" s="187" t="s">
        <v>349</v>
      </c>
      <c r="G16" s="53">
        <v>43252</v>
      </c>
      <c r="H16" s="19"/>
      <c r="I16" s="6" t="s">
        <v>449</v>
      </c>
      <c r="J16" s="92">
        <v>1</v>
      </c>
      <c r="K16" s="153">
        <v>1</v>
      </c>
      <c r="L16" s="157">
        <f t="shared" si="0"/>
        <v>0</v>
      </c>
      <c r="M16" s="161">
        <f t="shared" si="1"/>
        <v>0</v>
      </c>
      <c r="N16" s="32">
        <v>1</v>
      </c>
      <c r="O16" s="19">
        <v>43252</v>
      </c>
      <c r="P16" s="21"/>
      <c r="Q16" s="5"/>
      <c r="R16" s="6"/>
      <c r="S16" s="6"/>
      <c r="T16" s="22"/>
      <c r="U16" s="22"/>
      <c r="V16" s="6"/>
      <c r="W16" s="6"/>
      <c r="X16" s="6"/>
      <c r="Y16" s="6"/>
      <c r="Z16" s="6"/>
      <c r="AA16" s="22"/>
    </row>
    <row r="17" spans="1:27" ht="15" hidden="1" thickBot="1">
      <c r="A17" s="190">
        <v>3070</v>
      </c>
      <c r="B17" s="187" t="s">
        <v>21</v>
      </c>
      <c r="C17" s="187">
        <v>16</v>
      </c>
      <c r="D17" s="187">
        <v>1</v>
      </c>
      <c r="E17" s="187" t="s">
        <v>454</v>
      </c>
      <c r="F17" s="187" t="s">
        <v>350</v>
      </c>
      <c r="G17" s="53">
        <v>43214</v>
      </c>
      <c r="H17" s="19">
        <v>43214</v>
      </c>
      <c r="I17" s="6"/>
      <c r="J17" s="92">
        <v>1</v>
      </c>
      <c r="K17" s="153">
        <v>1</v>
      </c>
      <c r="L17" s="157">
        <f t="shared" si="0"/>
        <v>11</v>
      </c>
      <c r="M17" s="161">
        <f t="shared" si="1"/>
        <v>0.5</v>
      </c>
      <c r="N17" s="32">
        <v>3</v>
      </c>
      <c r="O17" s="19">
        <v>43229</v>
      </c>
      <c r="P17" s="21">
        <v>-2</v>
      </c>
      <c r="Q17" s="5">
        <v>3</v>
      </c>
      <c r="R17" s="6">
        <v>2</v>
      </c>
      <c r="S17" s="6">
        <v>2</v>
      </c>
      <c r="T17" s="22">
        <v>2</v>
      </c>
      <c r="U17" s="22">
        <v>2</v>
      </c>
      <c r="V17" s="6">
        <v>2</v>
      </c>
      <c r="W17" s="6">
        <v>0</v>
      </c>
      <c r="X17" s="6">
        <v>0</v>
      </c>
      <c r="Y17" s="6">
        <v>0</v>
      </c>
      <c r="Z17" s="6">
        <v>0</v>
      </c>
      <c r="AA17" s="22">
        <v>0</v>
      </c>
    </row>
    <row r="18" spans="1:27" ht="15" hidden="1" thickBot="1">
      <c r="A18" s="190">
        <v>3072</v>
      </c>
      <c r="B18" s="187" t="s">
        <v>21</v>
      </c>
      <c r="C18" s="187">
        <v>17</v>
      </c>
      <c r="D18" s="187">
        <v>1</v>
      </c>
      <c r="E18" s="187" t="s">
        <v>455</v>
      </c>
      <c r="F18" s="187" t="s">
        <v>57</v>
      </c>
      <c r="G18" s="53">
        <v>43214</v>
      </c>
      <c r="H18" s="19">
        <v>43214</v>
      </c>
      <c r="I18" s="6"/>
      <c r="J18" s="92">
        <v>1</v>
      </c>
      <c r="K18" s="153">
        <v>1</v>
      </c>
      <c r="L18" s="157">
        <f t="shared" si="0"/>
        <v>13</v>
      </c>
      <c r="M18" s="161">
        <f t="shared" si="1"/>
        <v>0.59090909090909094</v>
      </c>
      <c r="N18" s="32" t="s">
        <v>30</v>
      </c>
      <c r="O18" s="19">
        <v>43229</v>
      </c>
      <c r="P18" s="21"/>
      <c r="Q18" s="5">
        <v>3</v>
      </c>
      <c r="R18" s="6">
        <v>2</v>
      </c>
      <c r="S18" s="6">
        <v>3</v>
      </c>
      <c r="T18" s="22">
        <v>2</v>
      </c>
      <c r="U18" s="22">
        <v>0</v>
      </c>
      <c r="V18" s="6">
        <v>2</v>
      </c>
      <c r="W18" s="6">
        <v>0</v>
      </c>
      <c r="X18" s="6">
        <v>0</v>
      </c>
      <c r="Y18" s="6">
        <v>0</v>
      </c>
      <c r="Z18" s="6">
        <v>1</v>
      </c>
      <c r="AA18" s="22">
        <v>0</v>
      </c>
    </row>
    <row r="19" spans="1:27" ht="15" hidden="1" thickBot="1">
      <c r="A19" s="190">
        <v>3073</v>
      </c>
      <c r="B19" s="187" t="s">
        <v>21</v>
      </c>
      <c r="C19" s="187">
        <v>18</v>
      </c>
      <c r="D19" s="187">
        <v>2</v>
      </c>
      <c r="E19" s="187" t="s">
        <v>2</v>
      </c>
      <c r="F19" s="187" t="s">
        <v>352</v>
      </c>
      <c r="G19" s="53">
        <v>43252</v>
      </c>
      <c r="H19" s="19">
        <v>43251</v>
      </c>
      <c r="I19" s="6"/>
      <c r="J19" s="92">
        <v>1</v>
      </c>
      <c r="K19" s="153">
        <v>1</v>
      </c>
      <c r="L19" s="157">
        <f t="shared" si="0"/>
        <v>17</v>
      </c>
      <c r="M19" s="161">
        <f t="shared" si="1"/>
        <v>0.77272727272727271</v>
      </c>
      <c r="N19" s="32" t="s">
        <v>34</v>
      </c>
      <c r="O19" s="19">
        <v>43252</v>
      </c>
      <c r="P19" s="21"/>
      <c r="Q19" s="5">
        <v>3</v>
      </c>
      <c r="R19" s="6">
        <v>2</v>
      </c>
      <c r="S19" s="6">
        <v>2</v>
      </c>
      <c r="T19" s="22">
        <v>2</v>
      </c>
      <c r="U19" s="22">
        <v>1</v>
      </c>
      <c r="V19" s="6">
        <v>2</v>
      </c>
      <c r="W19" s="6">
        <v>2</v>
      </c>
      <c r="X19" s="6">
        <v>0</v>
      </c>
      <c r="Y19" s="6">
        <v>0</v>
      </c>
      <c r="Z19" s="6">
        <v>1</v>
      </c>
      <c r="AA19" s="22">
        <v>2</v>
      </c>
    </row>
    <row r="20" spans="1:27" ht="15" hidden="1" thickBot="1">
      <c r="A20" s="190">
        <v>3074</v>
      </c>
      <c r="B20" s="187" t="s">
        <v>21</v>
      </c>
      <c r="C20" s="187">
        <v>19</v>
      </c>
      <c r="D20" s="187">
        <v>2</v>
      </c>
      <c r="E20" s="187" t="s">
        <v>353</v>
      </c>
      <c r="F20" s="187" t="s">
        <v>352</v>
      </c>
      <c r="G20" s="53">
        <v>43252</v>
      </c>
      <c r="H20" s="19"/>
      <c r="I20" s="6" t="s">
        <v>449</v>
      </c>
      <c r="J20" s="92">
        <v>1</v>
      </c>
      <c r="K20" s="153">
        <v>1</v>
      </c>
      <c r="L20" s="157">
        <f t="shared" si="0"/>
        <v>0</v>
      </c>
      <c r="M20" s="161">
        <f t="shared" si="1"/>
        <v>0</v>
      </c>
      <c r="N20" s="32">
        <v>1</v>
      </c>
      <c r="O20" s="19">
        <v>43252</v>
      </c>
      <c r="P20" s="21"/>
      <c r="Q20" s="5"/>
      <c r="R20" s="6"/>
      <c r="S20" s="6"/>
      <c r="T20" s="22"/>
      <c r="U20" s="22"/>
      <c r="V20" s="6"/>
      <c r="W20" s="6"/>
      <c r="X20" s="6"/>
      <c r="Y20" s="6"/>
      <c r="Z20" s="6"/>
      <c r="AA20" s="22"/>
    </row>
    <row r="21" spans="1:27" ht="15" hidden="1" thickBot="1">
      <c r="A21" s="190">
        <v>3075</v>
      </c>
      <c r="B21" s="187" t="s">
        <v>21</v>
      </c>
      <c r="C21" s="187">
        <v>20</v>
      </c>
      <c r="D21" s="187">
        <v>2</v>
      </c>
      <c r="E21" s="187" t="s">
        <v>465</v>
      </c>
      <c r="F21" s="187" t="s">
        <v>355</v>
      </c>
      <c r="G21" s="53">
        <v>43252</v>
      </c>
      <c r="H21" s="19">
        <v>43251</v>
      </c>
      <c r="I21" s="6"/>
      <c r="J21" s="92">
        <v>1</v>
      </c>
      <c r="K21" s="153">
        <v>1</v>
      </c>
      <c r="L21" s="157">
        <f t="shared" si="0"/>
        <v>16</v>
      </c>
      <c r="M21" s="161">
        <f t="shared" si="1"/>
        <v>0.72727272727272729</v>
      </c>
      <c r="N21" s="32">
        <v>4</v>
      </c>
      <c r="O21" s="19">
        <v>43252</v>
      </c>
      <c r="P21" s="21"/>
      <c r="Q21" s="5">
        <v>2</v>
      </c>
      <c r="R21" s="6">
        <v>2</v>
      </c>
      <c r="S21" s="6">
        <v>2</v>
      </c>
      <c r="T21" s="22">
        <v>2</v>
      </c>
      <c r="U21" s="22">
        <v>1</v>
      </c>
      <c r="V21" s="6">
        <v>2</v>
      </c>
      <c r="W21" s="6">
        <v>2</v>
      </c>
      <c r="X21" s="6">
        <v>0</v>
      </c>
      <c r="Y21" s="6">
        <v>0</v>
      </c>
      <c r="Z21" s="6">
        <v>1</v>
      </c>
      <c r="AA21" s="22">
        <v>2</v>
      </c>
    </row>
    <row r="22" spans="1:27" ht="15" hidden="1" thickBot="1">
      <c r="A22" s="190">
        <v>3076</v>
      </c>
      <c r="B22" s="187" t="s">
        <v>21</v>
      </c>
      <c r="C22" s="187">
        <v>21</v>
      </c>
      <c r="D22" s="187">
        <v>1</v>
      </c>
      <c r="E22" s="187" t="s">
        <v>456</v>
      </c>
      <c r="F22" s="187" t="s">
        <v>356</v>
      </c>
      <c r="G22" s="53">
        <v>43214</v>
      </c>
      <c r="H22" s="19">
        <v>43214</v>
      </c>
      <c r="I22" s="6"/>
      <c r="J22" s="92">
        <v>1</v>
      </c>
      <c r="K22" s="153">
        <v>1</v>
      </c>
      <c r="L22" s="157">
        <f t="shared" si="0"/>
        <v>13</v>
      </c>
      <c r="M22" s="161">
        <f t="shared" si="1"/>
        <v>0.59090909090909094</v>
      </c>
      <c r="N22" s="32" t="s">
        <v>30</v>
      </c>
      <c r="O22" s="19">
        <v>43229</v>
      </c>
      <c r="P22" s="21"/>
      <c r="Q22" s="5">
        <v>3</v>
      </c>
      <c r="R22" s="6">
        <v>2</v>
      </c>
      <c r="S22" s="6">
        <v>3</v>
      </c>
      <c r="T22" s="22">
        <v>2</v>
      </c>
      <c r="U22" s="22">
        <v>0</v>
      </c>
      <c r="V22" s="6">
        <v>2</v>
      </c>
      <c r="W22" s="6">
        <v>0</v>
      </c>
      <c r="X22" s="6">
        <v>0</v>
      </c>
      <c r="Y22" s="6">
        <v>0</v>
      </c>
      <c r="Z22" s="6">
        <v>1</v>
      </c>
      <c r="AA22" s="22">
        <v>0</v>
      </c>
    </row>
    <row r="23" spans="1:27" ht="15" hidden="1" thickBot="1">
      <c r="A23" s="190">
        <v>3077</v>
      </c>
      <c r="B23" s="187" t="s">
        <v>21</v>
      </c>
      <c r="C23" s="187">
        <v>22</v>
      </c>
      <c r="D23" s="187">
        <v>2</v>
      </c>
      <c r="E23" s="187" t="s">
        <v>354</v>
      </c>
      <c r="F23" s="187" t="s">
        <v>357</v>
      </c>
      <c r="G23" s="53">
        <v>43252</v>
      </c>
      <c r="H23" s="19"/>
      <c r="I23" s="6" t="s">
        <v>449</v>
      </c>
      <c r="J23" s="92">
        <v>1</v>
      </c>
      <c r="K23" s="153">
        <v>1</v>
      </c>
      <c r="L23" s="157">
        <f t="shared" si="0"/>
        <v>0</v>
      </c>
      <c r="M23" s="161">
        <f t="shared" si="1"/>
        <v>0</v>
      </c>
      <c r="N23" s="32">
        <v>1</v>
      </c>
      <c r="O23" s="19">
        <v>43252</v>
      </c>
      <c r="P23" s="21"/>
      <c r="Q23" s="5"/>
      <c r="R23" s="6"/>
      <c r="S23" s="6"/>
      <c r="T23" s="22"/>
      <c r="U23" s="22"/>
      <c r="V23" s="6"/>
      <c r="W23" s="6"/>
      <c r="X23" s="6"/>
      <c r="Y23" s="6"/>
      <c r="Z23" s="6"/>
      <c r="AA23" s="22"/>
    </row>
    <row r="24" spans="1:27" ht="15" hidden="1" thickBot="1">
      <c r="A24" s="190">
        <v>3078</v>
      </c>
      <c r="B24" s="187" t="s">
        <v>21</v>
      </c>
      <c r="C24" s="187">
        <v>23</v>
      </c>
      <c r="D24" s="187">
        <v>1</v>
      </c>
      <c r="E24" s="187" t="s">
        <v>457</v>
      </c>
      <c r="F24" s="187" t="s">
        <v>359</v>
      </c>
      <c r="G24" s="53">
        <v>43214</v>
      </c>
      <c r="H24" s="19">
        <v>43214</v>
      </c>
      <c r="I24" s="6"/>
      <c r="J24" s="92">
        <v>1</v>
      </c>
      <c r="K24" s="153">
        <v>1</v>
      </c>
      <c r="L24" s="157">
        <f t="shared" si="0"/>
        <v>12</v>
      </c>
      <c r="M24" s="161">
        <f t="shared" si="1"/>
        <v>0.54545454545454541</v>
      </c>
      <c r="N24" s="32" t="s">
        <v>32</v>
      </c>
      <c r="O24" s="19">
        <v>43229</v>
      </c>
      <c r="P24" s="21"/>
      <c r="Q24" s="5">
        <v>2</v>
      </c>
      <c r="R24" s="6">
        <v>2</v>
      </c>
      <c r="S24" s="6">
        <v>2</v>
      </c>
      <c r="T24" s="22">
        <v>2</v>
      </c>
      <c r="U24" s="22">
        <v>2</v>
      </c>
      <c r="V24" s="6">
        <v>2</v>
      </c>
      <c r="W24" s="6">
        <v>0</v>
      </c>
      <c r="X24" s="6">
        <v>0</v>
      </c>
      <c r="Y24" s="6">
        <v>0</v>
      </c>
      <c r="Z24" s="6">
        <v>0</v>
      </c>
      <c r="AA24" s="22">
        <v>0</v>
      </c>
    </row>
    <row r="25" spans="1:27" ht="15" hidden="1" thickBot="1">
      <c r="A25" s="190">
        <v>3079</v>
      </c>
      <c r="B25" s="187" t="s">
        <v>21</v>
      </c>
      <c r="C25" s="187">
        <v>24</v>
      </c>
      <c r="D25" s="187">
        <v>2</v>
      </c>
      <c r="E25" s="187" t="s">
        <v>177</v>
      </c>
      <c r="F25" s="187" t="s">
        <v>43</v>
      </c>
      <c r="G25" s="53">
        <v>43252</v>
      </c>
      <c r="H25" s="19">
        <v>43252</v>
      </c>
      <c r="I25" s="6"/>
      <c r="J25" s="92">
        <v>1</v>
      </c>
      <c r="K25" s="153">
        <v>1</v>
      </c>
      <c r="L25" s="157">
        <f t="shared" si="0"/>
        <v>21</v>
      </c>
      <c r="M25" s="161">
        <f t="shared" si="1"/>
        <v>0.95454545454545459</v>
      </c>
      <c r="N25" s="32" t="s">
        <v>560</v>
      </c>
      <c r="O25" s="19">
        <v>43252</v>
      </c>
      <c r="P25" s="21"/>
      <c r="Q25" s="5">
        <v>3</v>
      </c>
      <c r="R25" s="6">
        <v>2</v>
      </c>
      <c r="S25" s="6">
        <v>3</v>
      </c>
      <c r="T25" s="22">
        <v>2</v>
      </c>
      <c r="U25" s="22">
        <v>2</v>
      </c>
      <c r="V25" s="6">
        <v>2</v>
      </c>
      <c r="W25" s="6">
        <v>2</v>
      </c>
      <c r="X25" s="6">
        <v>1</v>
      </c>
      <c r="Y25" s="6">
        <v>1</v>
      </c>
      <c r="Z25" s="6">
        <v>1</v>
      </c>
      <c r="AA25" s="22">
        <v>2</v>
      </c>
    </row>
    <row r="26" spans="1:27" ht="15" hidden="1" thickBot="1">
      <c r="A26" s="222">
        <v>3080</v>
      </c>
      <c r="B26" s="223" t="s">
        <v>21</v>
      </c>
      <c r="C26" s="223">
        <v>25</v>
      </c>
      <c r="D26" s="223">
        <v>1</v>
      </c>
      <c r="E26" s="223" t="s">
        <v>458</v>
      </c>
      <c r="F26" s="223" t="s">
        <v>360</v>
      </c>
      <c r="G26" s="232">
        <v>43214</v>
      </c>
      <c r="H26" s="213">
        <v>43214</v>
      </c>
      <c r="I26" s="208"/>
      <c r="J26" s="233">
        <v>1</v>
      </c>
      <c r="K26" s="234">
        <v>1</v>
      </c>
      <c r="L26" s="235">
        <f t="shared" si="0"/>
        <v>12</v>
      </c>
      <c r="M26" s="236">
        <f t="shared" si="1"/>
        <v>0.54545454545454541</v>
      </c>
      <c r="N26" s="217" t="s">
        <v>32</v>
      </c>
      <c r="O26" s="209">
        <v>43229</v>
      </c>
      <c r="P26" s="237"/>
      <c r="Q26" s="238">
        <v>2</v>
      </c>
      <c r="R26" s="208">
        <v>2</v>
      </c>
      <c r="S26" s="208">
        <v>2</v>
      </c>
      <c r="T26" s="218">
        <v>2</v>
      </c>
      <c r="U26" s="218">
        <v>2</v>
      </c>
      <c r="V26" s="208">
        <v>2</v>
      </c>
      <c r="W26" s="208">
        <v>0</v>
      </c>
      <c r="X26" s="208">
        <v>0</v>
      </c>
      <c r="Y26" s="208">
        <v>0</v>
      </c>
      <c r="Z26" s="208">
        <v>0</v>
      </c>
      <c r="AA26" s="218">
        <v>0</v>
      </c>
    </row>
    <row r="27" spans="1:27" ht="15" thickTop="1">
      <c r="A27" s="220">
        <v>3081</v>
      </c>
      <c r="B27" s="221" t="s">
        <v>22</v>
      </c>
      <c r="C27" s="221">
        <v>1</v>
      </c>
      <c r="D27" s="221">
        <v>2</v>
      </c>
      <c r="E27" s="221" t="s">
        <v>483</v>
      </c>
      <c r="F27" s="221" t="s">
        <v>361</v>
      </c>
      <c r="G27" s="239">
        <v>43252</v>
      </c>
      <c r="H27" s="251">
        <v>43250</v>
      </c>
      <c r="I27" s="214"/>
      <c r="J27" s="215">
        <v>1</v>
      </c>
      <c r="K27" s="240">
        <v>1</v>
      </c>
      <c r="L27" s="241">
        <f t="shared" si="0"/>
        <v>17</v>
      </c>
      <c r="M27" s="242">
        <f t="shared" si="1"/>
        <v>0.77272727272727271</v>
      </c>
      <c r="N27" s="216" t="s">
        <v>34</v>
      </c>
      <c r="O27" s="214">
        <v>43252</v>
      </c>
      <c r="P27" s="243">
        <v>-2</v>
      </c>
      <c r="Q27" s="244">
        <v>2</v>
      </c>
      <c r="R27" s="211">
        <v>2</v>
      </c>
      <c r="S27" s="211">
        <v>3</v>
      </c>
      <c r="T27" s="219">
        <v>2</v>
      </c>
      <c r="U27" s="219">
        <v>1</v>
      </c>
      <c r="V27" s="211">
        <v>2</v>
      </c>
      <c r="W27" s="211">
        <v>2</v>
      </c>
      <c r="X27" s="211">
        <v>1</v>
      </c>
      <c r="Y27" s="211">
        <v>0</v>
      </c>
      <c r="Z27" s="211">
        <v>2</v>
      </c>
      <c r="AA27" s="219">
        <v>2</v>
      </c>
    </row>
    <row r="28" spans="1:27">
      <c r="A28" s="190">
        <v>3082</v>
      </c>
      <c r="B28" s="187" t="s">
        <v>22</v>
      </c>
      <c r="C28" s="187">
        <v>2</v>
      </c>
      <c r="D28" s="187">
        <v>2</v>
      </c>
      <c r="E28" s="187" t="s">
        <v>484</v>
      </c>
      <c r="F28" s="187" t="s">
        <v>50</v>
      </c>
      <c r="G28" s="53"/>
      <c r="H28" s="19"/>
      <c r="I28" s="6" t="s">
        <v>449</v>
      </c>
      <c r="J28" s="92">
        <v>1</v>
      </c>
      <c r="K28" s="153">
        <v>1</v>
      </c>
      <c r="L28" s="157">
        <f t="shared" si="0"/>
        <v>0</v>
      </c>
      <c r="M28" s="161">
        <f t="shared" si="1"/>
        <v>0</v>
      </c>
      <c r="N28" s="32">
        <v>1</v>
      </c>
      <c r="O28" s="19">
        <v>43252</v>
      </c>
      <c r="P28" s="21"/>
      <c r="Q28" s="5"/>
      <c r="R28" s="6"/>
      <c r="S28" s="6"/>
      <c r="T28" s="22"/>
      <c r="U28" s="22"/>
      <c r="V28" s="6"/>
      <c r="W28" s="6"/>
      <c r="X28" s="6"/>
      <c r="Y28" s="6"/>
      <c r="Z28" s="6"/>
      <c r="AA28" s="22"/>
    </row>
    <row r="29" spans="1:27" hidden="1">
      <c r="A29" s="190">
        <v>3084</v>
      </c>
      <c r="B29" s="187" t="s">
        <v>22</v>
      </c>
      <c r="C29" s="187">
        <v>3</v>
      </c>
      <c r="D29" s="187" t="s">
        <v>559</v>
      </c>
      <c r="E29" s="187" t="s">
        <v>466</v>
      </c>
      <c r="F29" s="187" t="s">
        <v>362</v>
      </c>
      <c r="G29" s="53"/>
      <c r="H29" s="19"/>
      <c r="I29" s="6"/>
      <c r="J29" s="92">
        <v>1</v>
      </c>
      <c r="K29" s="153">
        <v>1</v>
      </c>
      <c r="L29" s="157">
        <f t="shared" si="0"/>
        <v>0</v>
      </c>
      <c r="M29" s="161">
        <f t="shared" si="1"/>
        <v>0</v>
      </c>
      <c r="N29" s="32"/>
      <c r="O29" s="19"/>
      <c r="P29" s="21"/>
      <c r="Q29" s="5"/>
      <c r="R29" s="6"/>
      <c r="S29" s="6"/>
      <c r="T29" s="22"/>
      <c r="U29" s="22"/>
      <c r="V29" s="6"/>
      <c r="W29" s="6"/>
      <c r="X29" s="6"/>
      <c r="Y29" s="6"/>
      <c r="Z29" s="6"/>
      <c r="AA29" s="22"/>
    </row>
    <row r="30" spans="1:27">
      <c r="A30" s="190">
        <v>3173</v>
      </c>
      <c r="B30" s="187" t="s">
        <v>22</v>
      </c>
      <c r="C30" s="187">
        <v>4</v>
      </c>
      <c r="D30" s="187">
        <v>1</v>
      </c>
      <c r="E30" s="187" t="s">
        <v>467</v>
      </c>
      <c r="F30" s="187" t="s">
        <v>363</v>
      </c>
      <c r="G30" s="53">
        <v>43213</v>
      </c>
      <c r="H30" s="249">
        <v>43213</v>
      </c>
      <c r="I30" s="6"/>
      <c r="J30" s="92">
        <v>1</v>
      </c>
      <c r="K30" s="153">
        <v>1</v>
      </c>
      <c r="L30" s="157">
        <f t="shared" si="0"/>
        <v>17</v>
      </c>
      <c r="M30" s="161">
        <f t="shared" si="1"/>
        <v>0.77272727272727271</v>
      </c>
      <c r="N30" s="32">
        <v>5</v>
      </c>
      <c r="O30" s="19">
        <v>43229</v>
      </c>
      <c r="P30" s="21"/>
      <c r="Q30" s="5">
        <v>3</v>
      </c>
      <c r="R30" s="6">
        <v>2</v>
      </c>
      <c r="S30" s="6">
        <v>3</v>
      </c>
      <c r="T30" s="22">
        <v>2</v>
      </c>
      <c r="U30" s="22">
        <v>2</v>
      </c>
      <c r="V30" s="6">
        <v>2</v>
      </c>
      <c r="W30" s="6">
        <v>2</v>
      </c>
      <c r="X30" s="6">
        <v>0</v>
      </c>
      <c r="Y30" s="6">
        <v>0</v>
      </c>
      <c r="Z30" s="6">
        <v>1</v>
      </c>
      <c r="AA30" s="22">
        <v>0</v>
      </c>
    </row>
    <row r="31" spans="1:27">
      <c r="A31" s="190">
        <v>3085</v>
      </c>
      <c r="B31" s="187" t="s">
        <v>22</v>
      </c>
      <c r="C31" s="187">
        <v>5</v>
      </c>
      <c r="D31" s="187">
        <v>2</v>
      </c>
      <c r="E31" s="187" t="s">
        <v>485</v>
      </c>
      <c r="F31" s="187" t="s">
        <v>364</v>
      </c>
      <c r="G31" s="53"/>
      <c r="H31" s="19"/>
      <c r="I31" s="6" t="s">
        <v>449</v>
      </c>
      <c r="J31" s="92">
        <v>1</v>
      </c>
      <c r="K31" s="153">
        <v>1</v>
      </c>
      <c r="L31" s="157">
        <f t="shared" si="0"/>
        <v>0</v>
      </c>
      <c r="M31" s="161">
        <f t="shared" si="1"/>
        <v>0</v>
      </c>
      <c r="N31" s="32">
        <v>1</v>
      </c>
      <c r="O31" s="19">
        <v>43252</v>
      </c>
      <c r="P31" s="21"/>
      <c r="Q31" s="5"/>
      <c r="R31" s="6"/>
      <c r="S31" s="6"/>
      <c r="T31" s="22"/>
      <c r="U31" s="22"/>
      <c r="V31" s="6"/>
      <c r="W31" s="6"/>
      <c r="X31" s="6"/>
      <c r="Y31" s="6"/>
      <c r="Z31" s="6"/>
      <c r="AA31" s="22"/>
    </row>
    <row r="32" spans="1:27">
      <c r="A32" s="190">
        <v>3182</v>
      </c>
      <c r="B32" s="187" t="s">
        <v>22</v>
      </c>
      <c r="C32" s="187">
        <v>6</v>
      </c>
      <c r="D32" s="187">
        <v>1</v>
      </c>
      <c r="E32" s="187" t="s">
        <v>468</v>
      </c>
      <c r="F32" s="187" t="s">
        <v>365</v>
      </c>
      <c r="G32" s="53">
        <v>43213</v>
      </c>
      <c r="H32" s="249">
        <v>43213</v>
      </c>
      <c r="I32" s="6"/>
      <c r="J32" s="92">
        <v>1</v>
      </c>
      <c r="K32" s="153">
        <v>1</v>
      </c>
      <c r="L32" s="157">
        <f t="shared" si="0"/>
        <v>17</v>
      </c>
      <c r="M32" s="161">
        <f t="shared" si="1"/>
        <v>0.77272727272727271</v>
      </c>
      <c r="N32" s="32">
        <v>5</v>
      </c>
      <c r="O32" s="19">
        <v>43229</v>
      </c>
      <c r="P32" s="21"/>
      <c r="Q32" s="5">
        <v>3</v>
      </c>
      <c r="R32" s="6">
        <v>2</v>
      </c>
      <c r="S32" s="6">
        <v>3</v>
      </c>
      <c r="T32" s="22">
        <v>2</v>
      </c>
      <c r="U32" s="22">
        <v>2</v>
      </c>
      <c r="V32" s="6">
        <v>2</v>
      </c>
      <c r="W32" s="6">
        <v>2</v>
      </c>
      <c r="X32" s="6">
        <v>0</v>
      </c>
      <c r="Y32" s="6">
        <v>0</v>
      </c>
      <c r="Z32" s="6">
        <v>1</v>
      </c>
      <c r="AA32" s="22">
        <v>0</v>
      </c>
    </row>
    <row r="33" spans="1:27">
      <c r="A33" s="190">
        <v>3086</v>
      </c>
      <c r="B33" s="187" t="s">
        <v>22</v>
      </c>
      <c r="C33" s="187">
        <v>7</v>
      </c>
      <c r="D33" s="187">
        <v>1</v>
      </c>
      <c r="E33" s="187" t="s">
        <v>469</v>
      </c>
      <c r="F33" s="187" t="s">
        <v>366</v>
      </c>
      <c r="G33" s="53">
        <v>43213</v>
      </c>
      <c r="H33" s="249">
        <v>43213</v>
      </c>
      <c r="I33" s="172"/>
      <c r="J33" s="92">
        <v>1</v>
      </c>
      <c r="K33" s="153">
        <v>1</v>
      </c>
      <c r="L33" s="157">
        <f t="shared" si="0"/>
        <v>19</v>
      </c>
      <c r="M33" s="161">
        <f t="shared" si="1"/>
        <v>0.86363636363636365</v>
      </c>
      <c r="N33" s="32">
        <v>5</v>
      </c>
      <c r="O33" s="19">
        <v>43229</v>
      </c>
      <c r="P33" s="21"/>
      <c r="Q33" s="5">
        <v>3</v>
      </c>
      <c r="R33" s="6">
        <v>2</v>
      </c>
      <c r="S33" s="6">
        <v>3</v>
      </c>
      <c r="T33" s="22">
        <v>2</v>
      </c>
      <c r="U33" s="22">
        <v>2</v>
      </c>
      <c r="V33" s="6">
        <v>2</v>
      </c>
      <c r="W33" s="6">
        <v>2</v>
      </c>
      <c r="X33" s="6">
        <v>0</v>
      </c>
      <c r="Y33" s="6">
        <v>0</v>
      </c>
      <c r="Z33" s="6">
        <v>1</v>
      </c>
      <c r="AA33" s="22">
        <v>2</v>
      </c>
    </row>
    <row r="34" spans="1:27">
      <c r="A34" s="190">
        <v>3087</v>
      </c>
      <c r="B34" s="187" t="s">
        <v>22</v>
      </c>
      <c r="C34" s="187">
        <v>8</v>
      </c>
      <c r="D34" s="187">
        <v>2</v>
      </c>
      <c r="E34" s="187" t="s">
        <v>486</v>
      </c>
      <c r="F34" s="187" t="s">
        <v>367</v>
      </c>
      <c r="G34" s="53">
        <v>43252</v>
      </c>
      <c r="H34" s="249">
        <v>43252</v>
      </c>
      <c r="I34" s="6"/>
      <c r="J34" s="92">
        <v>1</v>
      </c>
      <c r="K34" s="153">
        <v>0.5</v>
      </c>
      <c r="L34" s="157">
        <f t="shared" si="0"/>
        <v>16</v>
      </c>
      <c r="M34" s="161">
        <f t="shared" si="1"/>
        <v>0.72727272727272729</v>
      </c>
      <c r="N34" s="32">
        <v>4</v>
      </c>
      <c r="O34" s="19">
        <v>43253</v>
      </c>
      <c r="P34" s="21"/>
      <c r="Q34" s="5">
        <v>3</v>
      </c>
      <c r="R34" s="6">
        <v>2</v>
      </c>
      <c r="S34" s="6">
        <v>3</v>
      </c>
      <c r="T34" s="22">
        <v>0</v>
      </c>
      <c r="U34" s="22">
        <v>1</v>
      </c>
      <c r="V34" s="6">
        <v>2</v>
      </c>
      <c r="W34" s="6">
        <v>2</v>
      </c>
      <c r="X34" s="6">
        <v>0</v>
      </c>
      <c r="Y34" s="6">
        <v>0</v>
      </c>
      <c r="Z34" s="6">
        <v>1</v>
      </c>
      <c r="AA34" s="22">
        <v>2</v>
      </c>
    </row>
    <row r="35" spans="1:27">
      <c r="A35" s="190">
        <v>3087</v>
      </c>
      <c r="B35" s="187" t="s">
        <v>22</v>
      </c>
      <c r="C35" s="187">
        <v>8</v>
      </c>
      <c r="D35" s="187">
        <v>2</v>
      </c>
      <c r="E35" s="187" t="s">
        <v>486</v>
      </c>
      <c r="F35" s="187" t="s">
        <v>367</v>
      </c>
      <c r="G35" s="53">
        <v>43252</v>
      </c>
      <c r="H35" s="249"/>
      <c r="I35" s="6"/>
      <c r="J35" s="92">
        <v>2</v>
      </c>
      <c r="K35" s="153">
        <v>0.5</v>
      </c>
      <c r="L35" s="157">
        <f t="shared" si="0"/>
        <v>18</v>
      </c>
      <c r="M35" s="161">
        <f t="shared" si="1"/>
        <v>0.81818181818181823</v>
      </c>
      <c r="N35" s="32" t="s">
        <v>33</v>
      </c>
      <c r="O35" s="19">
        <v>43266</v>
      </c>
      <c r="P35" s="21"/>
      <c r="Q35" s="5">
        <v>3</v>
      </c>
      <c r="R35" s="6">
        <v>2</v>
      </c>
      <c r="S35" s="6">
        <v>3</v>
      </c>
      <c r="T35" s="22">
        <v>0</v>
      </c>
      <c r="U35" s="22">
        <v>1</v>
      </c>
      <c r="V35" s="6">
        <v>2</v>
      </c>
      <c r="W35" s="6">
        <v>2</v>
      </c>
      <c r="X35" s="6">
        <v>1</v>
      </c>
      <c r="Y35" s="6">
        <v>1</v>
      </c>
      <c r="Z35" s="6">
        <v>1</v>
      </c>
      <c r="AA35" s="22">
        <v>2</v>
      </c>
    </row>
    <row r="36" spans="1:27">
      <c r="A36" s="190">
        <v>3088</v>
      </c>
      <c r="B36" s="187" t="s">
        <v>22</v>
      </c>
      <c r="C36" s="187">
        <v>9</v>
      </c>
      <c r="D36" s="187">
        <v>1</v>
      </c>
      <c r="E36" s="187" t="s">
        <v>470</v>
      </c>
      <c r="F36" s="187" t="s">
        <v>368</v>
      </c>
      <c r="G36" s="53">
        <v>43252</v>
      </c>
      <c r="H36" s="249">
        <v>43252</v>
      </c>
      <c r="I36" s="6"/>
      <c r="J36" s="92">
        <v>1</v>
      </c>
      <c r="K36" s="153">
        <v>1</v>
      </c>
      <c r="L36" s="157">
        <f t="shared" ref="L36:L68" si="2">SUM(P36:AA36)</f>
        <v>19</v>
      </c>
      <c r="M36" s="161">
        <f t="shared" ref="M36:M68" si="3">L36/$L$2</f>
        <v>0.86363636363636365</v>
      </c>
      <c r="N36" s="32">
        <v>5</v>
      </c>
      <c r="O36" s="19">
        <v>43252</v>
      </c>
      <c r="P36" s="21"/>
      <c r="Q36" s="5">
        <v>2</v>
      </c>
      <c r="R36" s="6">
        <v>2</v>
      </c>
      <c r="S36" s="6">
        <v>2</v>
      </c>
      <c r="T36" s="22">
        <v>2</v>
      </c>
      <c r="U36" s="22">
        <v>2</v>
      </c>
      <c r="V36" s="6">
        <v>2</v>
      </c>
      <c r="W36" s="6">
        <v>2</v>
      </c>
      <c r="X36" s="6">
        <v>1</v>
      </c>
      <c r="Y36" s="6">
        <v>1</v>
      </c>
      <c r="Z36" s="6">
        <v>1</v>
      </c>
      <c r="AA36" s="22">
        <v>2</v>
      </c>
    </row>
    <row r="37" spans="1:27">
      <c r="A37" s="190">
        <v>3186</v>
      </c>
      <c r="B37" s="187" t="s">
        <v>22</v>
      </c>
      <c r="C37" s="187">
        <v>10</v>
      </c>
      <c r="D37" s="187">
        <v>1</v>
      </c>
      <c r="E37" s="187" t="s">
        <v>471</v>
      </c>
      <c r="F37" s="187" t="s">
        <v>369</v>
      </c>
      <c r="G37" s="53"/>
      <c r="H37" s="19"/>
      <c r="I37" s="6" t="s">
        <v>449</v>
      </c>
      <c r="J37" s="92">
        <v>1</v>
      </c>
      <c r="K37" s="153">
        <v>1</v>
      </c>
      <c r="L37" s="157">
        <f t="shared" si="2"/>
        <v>0</v>
      </c>
      <c r="M37" s="161">
        <f t="shared" si="3"/>
        <v>0</v>
      </c>
      <c r="N37" s="32">
        <v>1</v>
      </c>
      <c r="O37" s="19">
        <v>43252</v>
      </c>
      <c r="P37" s="21"/>
      <c r="Q37" s="5"/>
      <c r="R37" s="6"/>
      <c r="S37" s="6"/>
      <c r="T37" s="22"/>
      <c r="U37" s="22"/>
      <c r="V37" s="6"/>
      <c r="W37" s="6"/>
      <c r="X37" s="6"/>
      <c r="Y37" s="6"/>
      <c r="Z37" s="6"/>
      <c r="AA37" s="22"/>
    </row>
    <row r="38" spans="1:27">
      <c r="A38" s="190">
        <v>3089</v>
      </c>
      <c r="B38" s="187" t="s">
        <v>22</v>
      </c>
      <c r="C38" s="187">
        <v>11</v>
      </c>
      <c r="D38" s="187">
        <v>1</v>
      </c>
      <c r="E38" s="187" t="s">
        <v>472</v>
      </c>
      <c r="F38" s="187" t="s">
        <v>370</v>
      </c>
      <c r="G38" s="53">
        <v>43213</v>
      </c>
      <c r="H38" s="249">
        <v>43213</v>
      </c>
      <c r="I38" s="6"/>
      <c r="J38" s="92">
        <v>1</v>
      </c>
      <c r="K38" s="153">
        <v>1</v>
      </c>
      <c r="L38" s="157">
        <f t="shared" si="2"/>
        <v>21</v>
      </c>
      <c r="M38" s="161">
        <f t="shared" si="3"/>
        <v>0.95454545454545459</v>
      </c>
      <c r="N38" s="32">
        <v>6</v>
      </c>
      <c r="O38" s="19">
        <v>43229</v>
      </c>
      <c r="P38" s="21"/>
      <c r="Q38" s="5">
        <v>3</v>
      </c>
      <c r="R38" s="6">
        <v>2</v>
      </c>
      <c r="S38" s="6">
        <v>3</v>
      </c>
      <c r="T38" s="22">
        <v>2</v>
      </c>
      <c r="U38" s="22">
        <v>2</v>
      </c>
      <c r="V38" s="6">
        <v>2</v>
      </c>
      <c r="W38" s="6">
        <v>2</v>
      </c>
      <c r="X38" s="6">
        <v>1</v>
      </c>
      <c r="Y38" s="6">
        <v>0</v>
      </c>
      <c r="Z38" s="6">
        <v>2</v>
      </c>
      <c r="AA38" s="22">
        <v>2</v>
      </c>
    </row>
    <row r="39" spans="1:27">
      <c r="A39" s="190">
        <v>3090</v>
      </c>
      <c r="B39" s="187" t="s">
        <v>22</v>
      </c>
      <c r="C39" s="187">
        <v>12</v>
      </c>
      <c r="D39" s="187">
        <v>2</v>
      </c>
      <c r="E39" s="187" t="s">
        <v>487</v>
      </c>
      <c r="F39" s="187" t="s">
        <v>371</v>
      </c>
      <c r="G39" s="53">
        <v>43252</v>
      </c>
      <c r="H39" s="249">
        <v>43252</v>
      </c>
      <c r="I39" s="6"/>
      <c r="J39" s="92">
        <v>1</v>
      </c>
      <c r="K39" s="153">
        <v>1</v>
      </c>
      <c r="L39" s="157">
        <f t="shared" si="2"/>
        <v>20</v>
      </c>
      <c r="M39" s="161">
        <f t="shared" si="3"/>
        <v>0.90909090909090906</v>
      </c>
      <c r="N39" s="32">
        <v>5</v>
      </c>
      <c r="O39" s="19">
        <v>43252</v>
      </c>
      <c r="P39" s="21"/>
      <c r="Q39" s="5">
        <v>3</v>
      </c>
      <c r="R39" s="6">
        <v>2</v>
      </c>
      <c r="S39" s="6">
        <v>3</v>
      </c>
      <c r="T39" s="22">
        <v>2</v>
      </c>
      <c r="U39" s="22">
        <v>1</v>
      </c>
      <c r="V39" s="6">
        <v>2</v>
      </c>
      <c r="W39" s="6">
        <v>2</v>
      </c>
      <c r="X39" s="6">
        <v>1</v>
      </c>
      <c r="Y39" s="6">
        <v>1</v>
      </c>
      <c r="Z39" s="6">
        <v>1</v>
      </c>
      <c r="AA39" s="22">
        <v>2</v>
      </c>
    </row>
    <row r="40" spans="1:27">
      <c r="A40" s="190">
        <v>3120</v>
      </c>
      <c r="B40" s="187" t="s">
        <v>22</v>
      </c>
      <c r="C40" s="187">
        <v>13</v>
      </c>
      <c r="D40" s="187">
        <v>2</v>
      </c>
      <c r="E40" s="187" t="s">
        <v>494</v>
      </c>
      <c r="F40" s="187" t="s">
        <v>372</v>
      </c>
      <c r="G40" s="5"/>
      <c r="H40" s="19"/>
      <c r="I40" s="6" t="s">
        <v>449</v>
      </c>
      <c r="J40" s="92">
        <v>1</v>
      </c>
      <c r="K40" s="153">
        <v>1</v>
      </c>
      <c r="L40" s="157">
        <f t="shared" si="2"/>
        <v>0</v>
      </c>
      <c r="M40" s="161">
        <f t="shared" si="3"/>
        <v>0</v>
      </c>
      <c r="N40" s="32">
        <v>1</v>
      </c>
      <c r="O40" s="19">
        <v>43252</v>
      </c>
      <c r="P40" s="21"/>
      <c r="Q40" s="5"/>
      <c r="R40" s="6"/>
      <c r="S40" s="6"/>
      <c r="T40" s="22"/>
      <c r="U40" s="22"/>
      <c r="V40" s="6"/>
      <c r="W40" s="6"/>
      <c r="X40" s="6"/>
      <c r="Y40" s="6"/>
      <c r="Z40" s="6"/>
      <c r="AA40" s="22"/>
    </row>
    <row r="41" spans="1:27">
      <c r="A41" s="190">
        <v>3091</v>
      </c>
      <c r="B41" s="187" t="s">
        <v>22</v>
      </c>
      <c r="C41" s="187">
        <v>14</v>
      </c>
      <c r="D41" s="187">
        <v>2</v>
      </c>
      <c r="E41" s="187" t="s">
        <v>488</v>
      </c>
      <c r="F41" s="187" t="s">
        <v>373</v>
      </c>
      <c r="G41" s="53"/>
      <c r="H41" s="19"/>
      <c r="I41" s="19" t="s">
        <v>449</v>
      </c>
      <c r="J41" s="92">
        <v>1</v>
      </c>
      <c r="K41" s="153">
        <v>1</v>
      </c>
      <c r="L41" s="157">
        <f t="shared" si="2"/>
        <v>0</v>
      </c>
      <c r="M41" s="161">
        <f t="shared" si="3"/>
        <v>0</v>
      </c>
      <c r="N41" s="32">
        <v>1</v>
      </c>
      <c r="O41" s="19">
        <v>43252</v>
      </c>
      <c r="P41" s="21"/>
      <c r="Q41" s="5"/>
      <c r="R41" s="6"/>
      <c r="S41" s="6"/>
      <c r="T41" s="22"/>
      <c r="U41" s="22"/>
      <c r="V41" s="6"/>
      <c r="W41" s="6"/>
      <c r="X41" s="6"/>
      <c r="Y41" s="6"/>
      <c r="Z41" s="6"/>
      <c r="AA41" s="22"/>
    </row>
    <row r="42" spans="1:27">
      <c r="A42" s="190">
        <v>3179</v>
      </c>
      <c r="B42" s="187" t="s">
        <v>22</v>
      </c>
      <c r="C42" s="187">
        <v>15</v>
      </c>
      <c r="D42" s="187">
        <v>1</v>
      </c>
      <c r="E42" s="187" t="s">
        <v>473</v>
      </c>
      <c r="F42" s="187" t="s">
        <v>374</v>
      </c>
      <c r="G42" s="53">
        <v>43213</v>
      </c>
      <c r="H42" s="249">
        <v>43213</v>
      </c>
      <c r="I42" s="19"/>
      <c r="J42" s="92">
        <v>1</v>
      </c>
      <c r="K42" s="153">
        <v>1</v>
      </c>
      <c r="L42" s="157">
        <f t="shared" si="2"/>
        <v>17</v>
      </c>
      <c r="M42" s="161">
        <f t="shared" si="3"/>
        <v>0.77272727272727271</v>
      </c>
      <c r="N42" s="32">
        <v>5</v>
      </c>
      <c r="O42" s="19">
        <v>43229</v>
      </c>
      <c r="P42" s="21"/>
      <c r="Q42" s="5">
        <v>3</v>
      </c>
      <c r="R42" s="6">
        <v>2</v>
      </c>
      <c r="S42" s="6">
        <v>3</v>
      </c>
      <c r="T42" s="22">
        <v>2</v>
      </c>
      <c r="U42" s="22">
        <v>2</v>
      </c>
      <c r="V42" s="6">
        <v>2</v>
      </c>
      <c r="W42" s="6">
        <v>2</v>
      </c>
      <c r="X42" s="6">
        <v>0</v>
      </c>
      <c r="Y42" s="6">
        <v>0</v>
      </c>
      <c r="Z42" s="6">
        <v>1</v>
      </c>
      <c r="AA42" s="22">
        <v>0</v>
      </c>
    </row>
    <row r="43" spans="1:27">
      <c r="A43" s="190">
        <v>3092</v>
      </c>
      <c r="B43" s="187" t="s">
        <v>22</v>
      </c>
      <c r="C43" s="187">
        <v>16</v>
      </c>
      <c r="D43" s="187">
        <v>1</v>
      </c>
      <c r="E43" s="187" t="s">
        <v>474</v>
      </c>
      <c r="F43" s="187" t="s">
        <v>375</v>
      </c>
      <c r="G43" s="53">
        <v>43252</v>
      </c>
      <c r="H43" s="249">
        <v>43252</v>
      </c>
      <c r="I43" s="19"/>
      <c r="J43" s="92">
        <v>1</v>
      </c>
      <c r="K43" s="153">
        <v>1</v>
      </c>
      <c r="L43" s="157">
        <f t="shared" si="2"/>
        <v>19</v>
      </c>
      <c r="M43" s="161">
        <f t="shared" si="3"/>
        <v>0.86363636363636365</v>
      </c>
      <c r="N43" s="32">
        <v>5</v>
      </c>
      <c r="O43" s="19">
        <v>43252</v>
      </c>
      <c r="P43" s="21"/>
      <c r="Q43" s="5">
        <v>2</v>
      </c>
      <c r="R43" s="6">
        <v>2</v>
      </c>
      <c r="S43" s="6">
        <v>2</v>
      </c>
      <c r="T43" s="22">
        <v>2</v>
      </c>
      <c r="U43" s="22">
        <v>2</v>
      </c>
      <c r="V43" s="6">
        <v>2</v>
      </c>
      <c r="W43" s="6">
        <v>2</v>
      </c>
      <c r="X43" s="6">
        <v>1</v>
      </c>
      <c r="Y43" s="6">
        <v>1</v>
      </c>
      <c r="Z43" s="6">
        <v>1</v>
      </c>
      <c r="AA43" s="22">
        <v>2</v>
      </c>
    </row>
    <row r="44" spans="1:27">
      <c r="A44" s="190">
        <v>3093</v>
      </c>
      <c r="B44" s="187" t="s">
        <v>22</v>
      </c>
      <c r="C44" s="187">
        <v>17</v>
      </c>
      <c r="D44" s="187">
        <v>2</v>
      </c>
      <c r="E44" s="187" t="s">
        <v>82</v>
      </c>
      <c r="F44" s="187" t="s">
        <v>376</v>
      </c>
      <c r="G44" s="53">
        <v>43252</v>
      </c>
      <c r="H44" s="249">
        <v>43252</v>
      </c>
      <c r="I44" s="19"/>
      <c r="J44" s="92">
        <v>1</v>
      </c>
      <c r="K44" s="153">
        <v>1</v>
      </c>
      <c r="L44" s="157">
        <f t="shared" si="2"/>
        <v>17</v>
      </c>
      <c r="M44" s="161">
        <f t="shared" si="3"/>
        <v>0.77272727272727271</v>
      </c>
      <c r="N44" s="32">
        <v>4</v>
      </c>
      <c r="O44" s="19">
        <v>43252</v>
      </c>
      <c r="P44" s="21"/>
      <c r="Q44" s="5">
        <v>2</v>
      </c>
      <c r="R44" s="6">
        <v>2</v>
      </c>
      <c r="S44" s="6">
        <v>3</v>
      </c>
      <c r="T44" s="22">
        <v>0</v>
      </c>
      <c r="U44" s="22">
        <v>1</v>
      </c>
      <c r="V44" s="6">
        <v>2</v>
      </c>
      <c r="W44" s="6">
        <v>2</v>
      </c>
      <c r="X44" s="6">
        <v>1</v>
      </c>
      <c r="Y44" s="6">
        <v>0</v>
      </c>
      <c r="Z44" s="6">
        <v>2</v>
      </c>
      <c r="AA44" s="22">
        <v>2</v>
      </c>
    </row>
    <row r="45" spans="1:27">
      <c r="A45" s="190">
        <v>3094</v>
      </c>
      <c r="B45" s="187" t="s">
        <v>22</v>
      </c>
      <c r="C45" s="187">
        <v>18</v>
      </c>
      <c r="D45" s="187">
        <v>2</v>
      </c>
      <c r="E45" s="187" t="s">
        <v>489</v>
      </c>
      <c r="F45" s="187" t="s">
        <v>377</v>
      </c>
      <c r="G45" s="53">
        <v>43252</v>
      </c>
      <c r="H45" s="249">
        <v>43252</v>
      </c>
      <c r="I45" s="19"/>
      <c r="J45" s="92">
        <v>1</v>
      </c>
      <c r="K45" s="153">
        <v>1</v>
      </c>
      <c r="L45" s="157">
        <f t="shared" si="2"/>
        <v>18</v>
      </c>
      <c r="M45" s="161">
        <f t="shared" si="3"/>
        <v>0.81818181818181823</v>
      </c>
      <c r="N45" s="32" t="s">
        <v>33</v>
      </c>
      <c r="O45" s="19">
        <v>43252</v>
      </c>
      <c r="P45" s="21"/>
      <c r="Q45" s="5">
        <v>3</v>
      </c>
      <c r="R45" s="6">
        <v>2</v>
      </c>
      <c r="S45" s="6">
        <v>3</v>
      </c>
      <c r="T45" s="22">
        <v>2</v>
      </c>
      <c r="U45" s="22">
        <v>1</v>
      </c>
      <c r="V45" s="6">
        <v>2</v>
      </c>
      <c r="W45" s="6">
        <v>2</v>
      </c>
      <c r="X45" s="6">
        <v>0</v>
      </c>
      <c r="Y45" s="6">
        <v>0</v>
      </c>
      <c r="Z45" s="6">
        <v>1</v>
      </c>
      <c r="AA45" s="22">
        <v>2</v>
      </c>
    </row>
    <row r="46" spans="1:27">
      <c r="A46" s="190">
        <v>3095</v>
      </c>
      <c r="B46" s="187" t="s">
        <v>22</v>
      </c>
      <c r="C46" s="187">
        <v>19</v>
      </c>
      <c r="D46" s="187">
        <v>1</v>
      </c>
      <c r="E46" s="187" t="s">
        <v>475</v>
      </c>
      <c r="F46" s="187" t="s">
        <v>378</v>
      </c>
      <c r="G46" s="53">
        <v>43213</v>
      </c>
      <c r="H46" s="249">
        <v>43213</v>
      </c>
      <c r="I46" s="19"/>
      <c r="J46" s="92">
        <v>1</v>
      </c>
      <c r="K46" s="153">
        <v>1</v>
      </c>
      <c r="L46" s="157">
        <f t="shared" si="2"/>
        <v>18</v>
      </c>
      <c r="M46" s="161">
        <f t="shared" si="3"/>
        <v>0.81818181818181823</v>
      </c>
      <c r="N46" s="32">
        <v>5</v>
      </c>
      <c r="O46" s="19">
        <v>43229</v>
      </c>
      <c r="P46" s="21"/>
      <c r="Q46" s="5">
        <v>3</v>
      </c>
      <c r="R46" s="6">
        <v>2</v>
      </c>
      <c r="S46" s="6">
        <v>3</v>
      </c>
      <c r="T46" s="22">
        <v>2</v>
      </c>
      <c r="U46" s="22">
        <v>2</v>
      </c>
      <c r="V46" s="6">
        <v>2</v>
      </c>
      <c r="W46" s="6">
        <v>2</v>
      </c>
      <c r="X46" s="6">
        <v>0</v>
      </c>
      <c r="Y46" s="6">
        <v>0</v>
      </c>
      <c r="Z46" s="6">
        <v>1</v>
      </c>
      <c r="AA46" s="22">
        <v>1</v>
      </c>
    </row>
    <row r="47" spans="1:27">
      <c r="A47" s="190">
        <v>3096</v>
      </c>
      <c r="B47" s="187" t="s">
        <v>22</v>
      </c>
      <c r="C47" s="187">
        <v>20</v>
      </c>
      <c r="D47" s="187">
        <v>2</v>
      </c>
      <c r="E47" s="187" t="s">
        <v>379</v>
      </c>
      <c r="F47" s="187" t="s">
        <v>380</v>
      </c>
      <c r="G47" s="53">
        <v>43252</v>
      </c>
      <c r="H47" s="249">
        <v>43252</v>
      </c>
      <c r="I47" s="6"/>
      <c r="J47" s="92">
        <v>1</v>
      </c>
      <c r="K47" s="153">
        <v>1</v>
      </c>
      <c r="L47" s="157">
        <f>SUM(P47:AA47)</f>
        <v>20</v>
      </c>
      <c r="M47" s="161">
        <f>L47/$L$2</f>
        <v>0.90909090909090906</v>
      </c>
      <c r="N47" s="32">
        <v>5</v>
      </c>
      <c r="O47" s="19">
        <v>43252</v>
      </c>
      <c r="P47" s="21"/>
      <c r="Q47" s="5">
        <v>3</v>
      </c>
      <c r="R47" s="6">
        <v>2</v>
      </c>
      <c r="S47" s="6">
        <v>3</v>
      </c>
      <c r="T47" s="22">
        <v>2</v>
      </c>
      <c r="U47" s="22">
        <v>1</v>
      </c>
      <c r="V47" s="6">
        <v>2</v>
      </c>
      <c r="W47" s="6">
        <v>2</v>
      </c>
      <c r="X47" s="6">
        <v>1</v>
      </c>
      <c r="Y47" s="6">
        <v>1</v>
      </c>
      <c r="Z47" s="6">
        <v>1</v>
      </c>
      <c r="AA47" s="22">
        <v>2</v>
      </c>
    </row>
    <row r="48" spans="1:27" hidden="1">
      <c r="A48" s="190">
        <v>3193</v>
      </c>
      <c r="B48" s="187" t="s">
        <v>22</v>
      </c>
      <c r="C48" s="187">
        <v>21</v>
      </c>
      <c r="D48" s="187" t="s">
        <v>450</v>
      </c>
      <c r="E48" s="187" t="s">
        <v>11</v>
      </c>
      <c r="F48" s="187" t="s">
        <v>406</v>
      </c>
      <c r="G48" s="53"/>
      <c r="H48" s="19"/>
      <c r="I48" s="19"/>
      <c r="J48" s="92">
        <v>1</v>
      </c>
      <c r="K48" s="153">
        <v>1</v>
      </c>
      <c r="L48" s="157">
        <f t="shared" si="2"/>
        <v>0</v>
      </c>
      <c r="M48" s="161">
        <f t="shared" si="3"/>
        <v>0</v>
      </c>
      <c r="N48" s="32"/>
      <c r="O48" s="19"/>
      <c r="P48" s="21"/>
      <c r="Q48" s="5"/>
      <c r="R48" s="6"/>
      <c r="S48" s="6"/>
      <c r="T48" s="22"/>
      <c r="U48" s="22"/>
      <c r="V48" s="6"/>
      <c r="W48" s="6"/>
      <c r="X48" s="6"/>
      <c r="Y48" s="6"/>
      <c r="Z48" s="6"/>
      <c r="AA48" s="22"/>
    </row>
    <row r="49" spans="1:28">
      <c r="A49" s="190">
        <v>3097</v>
      </c>
      <c r="B49" s="187" t="s">
        <v>22</v>
      </c>
      <c r="C49" s="187">
        <v>22</v>
      </c>
      <c r="D49" s="187">
        <v>2</v>
      </c>
      <c r="E49" s="187" t="s">
        <v>0</v>
      </c>
      <c r="F49" s="187" t="s">
        <v>381</v>
      </c>
      <c r="G49" s="53">
        <v>43252</v>
      </c>
      <c r="H49" s="249">
        <v>43250</v>
      </c>
      <c r="I49" s="19"/>
      <c r="J49" s="92">
        <v>1</v>
      </c>
      <c r="K49" s="153">
        <v>1</v>
      </c>
      <c r="L49" s="157">
        <f t="shared" si="2"/>
        <v>17</v>
      </c>
      <c r="M49" s="161">
        <f t="shared" si="3"/>
        <v>0.77272727272727271</v>
      </c>
      <c r="N49" s="32" t="s">
        <v>34</v>
      </c>
      <c r="O49" s="19">
        <v>43252</v>
      </c>
      <c r="P49" s="21">
        <v>-2</v>
      </c>
      <c r="Q49" s="5">
        <v>2</v>
      </c>
      <c r="R49" s="6">
        <v>2</v>
      </c>
      <c r="S49" s="6">
        <v>3</v>
      </c>
      <c r="T49" s="22">
        <v>2</v>
      </c>
      <c r="U49" s="22">
        <v>1</v>
      </c>
      <c r="V49" s="6">
        <v>2</v>
      </c>
      <c r="W49" s="6">
        <v>2</v>
      </c>
      <c r="X49" s="6">
        <v>1</v>
      </c>
      <c r="Y49" s="6">
        <v>0</v>
      </c>
      <c r="Z49" s="6">
        <v>2</v>
      </c>
      <c r="AA49" s="22">
        <v>2</v>
      </c>
    </row>
    <row r="50" spans="1:28">
      <c r="A50" s="190">
        <v>3099</v>
      </c>
      <c r="B50" s="187" t="s">
        <v>22</v>
      </c>
      <c r="C50" s="187">
        <v>23</v>
      </c>
      <c r="D50" s="187">
        <v>2</v>
      </c>
      <c r="E50" s="187" t="s">
        <v>490</v>
      </c>
      <c r="F50" s="187" t="s">
        <v>382</v>
      </c>
      <c r="G50" s="53">
        <v>43252</v>
      </c>
      <c r="H50" s="249">
        <v>43250</v>
      </c>
      <c r="I50" s="6"/>
      <c r="J50" s="92">
        <v>1</v>
      </c>
      <c r="K50" s="153">
        <v>1</v>
      </c>
      <c r="L50" s="157">
        <f t="shared" si="2"/>
        <v>19</v>
      </c>
      <c r="M50" s="161">
        <f t="shared" si="3"/>
        <v>0.86363636363636365</v>
      </c>
      <c r="N50" s="32">
        <v>5</v>
      </c>
      <c r="O50" s="133">
        <v>43252</v>
      </c>
      <c r="P50" s="21"/>
      <c r="Q50" s="5">
        <v>3</v>
      </c>
      <c r="R50" s="6">
        <v>2</v>
      </c>
      <c r="S50" s="6">
        <v>3</v>
      </c>
      <c r="T50" s="22">
        <v>0</v>
      </c>
      <c r="U50" s="22">
        <v>1</v>
      </c>
      <c r="V50" s="6">
        <v>2</v>
      </c>
      <c r="W50" s="6">
        <v>2</v>
      </c>
      <c r="X50" s="6">
        <v>1</v>
      </c>
      <c r="Y50" s="6">
        <v>1</v>
      </c>
      <c r="Z50" s="6">
        <v>2</v>
      </c>
      <c r="AA50" s="22">
        <v>2</v>
      </c>
    </row>
    <row r="51" spans="1:28">
      <c r="A51" s="190">
        <v>3184</v>
      </c>
      <c r="B51" s="187" t="s">
        <v>22</v>
      </c>
      <c r="C51" s="187">
        <v>24</v>
      </c>
      <c r="D51" s="187">
        <v>1</v>
      </c>
      <c r="E51" s="187" t="s">
        <v>476</v>
      </c>
      <c r="F51" s="187" t="s">
        <v>383</v>
      </c>
      <c r="G51" s="53">
        <v>43213</v>
      </c>
      <c r="H51" s="249">
        <v>43213</v>
      </c>
      <c r="I51" s="19"/>
      <c r="J51" s="92">
        <v>1</v>
      </c>
      <c r="K51" s="153">
        <v>1</v>
      </c>
      <c r="L51" s="157">
        <f t="shared" si="2"/>
        <v>19</v>
      </c>
      <c r="M51" s="161">
        <f t="shared" si="3"/>
        <v>0.86363636363636365</v>
      </c>
      <c r="N51" s="32">
        <v>5</v>
      </c>
      <c r="O51" s="19">
        <v>43229</v>
      </c>
      <c r="P51" s="21"/>
      <c r="Q51" s="5">
        <v>3</v>
      </c>
      <c r="R51" s="6">
        <v>2</v>
      </c>
      <c r="S51" s="6">
        <v>3</v>
      </c>
      <c r="T51" s="22">
        <v>2</v>
      </c>
      <c r="U51" s="22">
        <v>2</v>
      </c>
      <c r="V51" s="6">
        <v>2</v>
      </c>
      <c r="W51" s="6">
        <v>2</v>
      </c>
      <c r="X51" s="6">
        <v>0</v>
      </c>
      <c r="Y51" s="6">
        <v>0</v>
      </c>
      <c r="Z51" s="6">
        <v>1</v>
      </c>
      <c r="AA51" s="22">
        <v>2</v>
      </c>
    </row>
    <row r="52" spans="1:28">
      <c r="A52" s="190">
        <v>3100</v>
      </c>
      <c r="B52" s="187" t="s">
        <v>22</v>
      </c>
      <c r="C52" s="187">
        <v>25</v>
      </c>
      <c r="D52" s="187">
        <v>2</v>
      </c>
      <c r="E52" s="187" t="s">
        <v>491</v>
      </c>
      <c r="F52" s="187" t="s">
        <v>52</v>
      </c>
      <c r="G52" s="53">
        <v>43252</v>
      </c>
      <c r="H52" s="19">
        <v>43253</v>
      </c>
      <c r="I52" s="19"/>
      <c r="J52" s="92">
        <v>1</v>
      </c>
      <c r="K52" s="153">
        <v>1</v>
      </c>
      <c r="L52" s="157">
        <f t="shared" si="2"/>
        <v>15</v>
      </c>
      <c r="M52" s="161">
        <f t="shared" si="3"/>
        <v>0.68181818181818177</v>
      </c>
      <c r="N52" s="32">
        <v>4</v>
      </c>
      <c r="O52" s="19">
        <v>43257</v>
      </c>
      <c r="P52" s="21">
        <v>-1</v>
      </c>
      <c r="Q52" s="5">
        <v>2</v>
      </c>
      <c r="R52" s="6">
        <v>2</v>
      </c>
      <c r="S52" s="6">
        <v>3</v>
      </c>
      <c r="T52" s="22">
        <v>2</v>
      </c>
      <c r="U52" s="22">
        <v>1</v>
      </c>
      <c r="V52" s="6">
        <v>2</v>
      </c>
      <c r="W52" s="6">
        <v>2</v>
      </c>
      <c r="X52" s="6">
        <v>0</v>
      </c>
      <c r="Y52" s="6">
        <v>0</v>
      </c>
      <c r="Z52" s="6">
        <v>1</v>
      </c>
      <c r="AA52" s="22">
        <v>1</v>
      </c>
    </row>
    <row r="53" spans="1:28">
      <c r="A53" s="190">
        <v>3101</v>
      </c>
      <c r="B53" s="187" t="s">
        <v>22</v>
      </c>
      <c r="C53" s="187">
        <v>26</v>
      </c>
      <c r="D53" s="187">
        <v>2</v>
      </c>
      <c r="E53" s="187" t="s">
        <v>492</v>
      </c>
      <c r="F53" s="187" t="s">
        <v>384</v>
      </c>
      <c r="G53" s="53">
        <v>43252</v>
      </c>
      <c r="H53" s="249">
        <v>43252</v>
      </c>
      <c r="I53" s="19"/>
      <c r="J53" s="92">
        <v>1</v>
      </c>
      <c r="K53" s="153">
        <v>1</v>
      </c>
      <c r="L53" s="157">
        <f t="shared" si="2"/>
        <v>20</v>
      </c>
      <c r="M53" s="161">
        <f t="shared" si="3"/>
        <v>0.90909090909090906</v>
      </c>
      <c r="N53" s="32">
        <v>5</v>
      </c>
      <c r="O53" s="19">
        <v>43252</v>
      </c>
      <c r="P53" s="21"/>
      <c r="Q53" s="5">
        <v>3</v>
      </c>
      <c r="R53" s="6">
        <v>2</v>
      </c>
      <c r="S53" s="6">
        <v>3</v>
      </c>
      <c r="T53" s="22">
        <v>2</v>
      </c>
      <c r="U53" s="22">
        <v>1</v>
      </c>
      <c r="V53" s="6">
        <v>2</v>
      </c>
      <c r="W53" s="6">
        <v>2</v>
      </c>
      <c r="X53" s="6">
        <v>1</v>
      </c>
      <c r="Y53" s="6">
        <v>1</v>
      </c>
      <c r="Z53" s="6">
        <v>1</v>
      </c>
      <c r="AA53" s="22">
        <v>2</v>
      </c>
    </row>
    <row r="54" spans="1:28">
      <c r="A54" s="190">
        <v>3102</v>
      </c>
      <c r="B54" s="187" t="s">
        <v>22</v>
      </c>
      <c r="C54" s="187">
        <v>27</v>
      </c>
      <c r="D54" s="187">
        <v>2</v>
      </c>
      <c r="E54" s="187" t="s">
        <v>493</v>
      </c>
      <c r="F54" s="187" t="s">
        <v>352</v>
      </c>
      <c r="G54" s="53"/>
      <c r="H54" s="19"/>
      <c r="I54" s="19" t="s">
        <v>449</v>
      </c>
      <c r="J54" s="92">
        <v>1</v>
      </c>
      <c r="K54" s="153">
        <v>1</v>
      </c>
      <c r="L54" s="157">
        <f t="shared" si="2"/>
        <v>0</v>
      </c>
      <c r="M54" s="161">
        <f t="shared" si="3"/>
        <v>0</v>
      </c>
      <c r="N54" s="32">
        <v>1</v>
      </c>
      <c r="O54" s="19">
        <v>43252</v>
      </c>
      <c r="P54" s="21"/>
      <c r="Q54" s="5"/>
      <c r="R54" s="6"/>
      <c r="S54" s="6"/>
      <c r="T54" s="22"/>
      <c r="U54" s="22"/>
      <c r="V54" s="6"/>
      <c r="W54" s="6"/>
      <c r="X54" s="6"/>
      <c r="Y54" s="6"/>
      <c r="Z54" s="6"/>
      <c r="AA54" s="22"/>
    </row>
    <row r="55" spans="1:28">
      <c r="A55" s="190">
        <v>3133</v>
      </c>
      <c r="B55" s="187" t="s">
        <v>22</v>
      </c>
      <c r="C55" s="187">
        <v>28</v>
      </c>
      <c r="D55" s="187">
        <v>1</v>
      </c>
      <c r="E55" s="187" t="s">
        <v>482</v>
      </c>
      <c r="F55" s="187" t="s">
        <v>147</v>
      </c>
      <c r="G55" s="53">
        <v>43213</v>
      </c>
      <c r="H55" s="249">
        <v>43213</v>
      </c>
      <c r="I55" s="19"/>
      <c r="J55" s="92">
        <v>1</v>
      </c>
      <c r="K55" s="153">
        <v>1</v>
      </c>
      <c r="L55" s="157">
        <f t="shared" si="2"/>
        <v>8</v>
      </c>
      <c r="M55" s="161">
        <f t="shared" si="3"/>
        <v>0.36363636363636365</v>
      </c>
      <c r="N55" s="32">
        <v>2</v>
      </c>
      <c r="O55" s="19">
        <v>43229</v>
      </c>
      <c r="P55" s="21">
        <v>-3</v>
      </c>
      <c r="Q55" s="5">
        <v>2</v>
      </c>
      <c r="R55" s="6">
        <v>2</v>
      </c>
      <c r="S55" s="6">
        <v>2</v>
      </c>
      <c r="T55" s="22">
        <v>0</v>
      </c>
      <c r="U55" s="22">
        <v>0</v>
      </c>
      <c r="V55" s="6">
        <v>2</v>
      </c>
      <c r="W55" s="6">
        <v>2</v>
      </c>
      <c r="X55" s="6">
        <v>0</v>
      </c>
      <c r="Y55" s="6">
        <v>0</v>
      </c>
      <c r="Z55" s="6">
        <v>1</v>
      </c>
      <c r="AA55" s="22">
        <v>0</v>
      </c>
    </row>
    <row r="56" spans="1:28">
      <c r="A56" s="190">
        <v>3103</v>
      </c>
      <c r="B56" s="187" t="s">
        <v>22</v>
      </c>
      <c r="C56" s="187">
        <v>29</v>
      </c>
      <c r="D56" s="187">
        <v>1</v>
      </c>
      <c r="E56" s="187" t="s">
        <v>477</v>
      </c>
      <c r="F56" s="187" t="s">
        <v>386</v>
      </c>
      <c r="G56" s="53">
        <v>43252</v>
      </c>
      <c r="H56" s="19">
        <v>43253</v>
      </c>
      <c r="I56" s="19"/>
      <c r="J56" s="92">
        <v>1</v>
      </c>
      <c r="K56" s="153">
        <v>1</v>
      </c>
      <c r="L56" s="157">
        <f>SUM(P56:AA56)</f>
        <v>15</v>
      </c>
      <c r="M56" s="161">
        <f>L56/$L$2</f>
        <v>0.68181818181818177</v>
      </c>
      <c r="N56" s="32">
        <v>4</v>
      </c>
      <c r="O56" s="19">
        <v>43257</v>
      </c>
      <c r="P56" s="21">
        <v>-1</v>
      </c>
      <c r="Q56" s="5">
        <v>2</v>
      </c>
      <c r="R56" s="6">
        <v>2</v>
      </c>
      <c r="S56" s="6">
        <v>3</v>
      </c>
      <c r="T56" s="22">
        <v>2</v>
      </c>
      <c r="U56" s="22">
        <v>1</v>
      </c>
      <c r="V56" s="6">
        <v>2</v>
      </c>
      <c r="W56" s="6">
        <v>2</v>
      </c>
      <c r="X56" s="6">
        <v>0</v>
      </c>
      <c r="Y56" s="6">
        <v>0</v>
      </c>
      <c r="Z56" s="6">
        <v>1</v>
      </c>
      <c r="AA56" s="22">
        <v>1</v>
      </c>
    </row>
    <row r="57" spans="1:28">
      <c r="A57" s="190">
        <v>3104</v>
      </c>
      <c r="B57" s="187" t="s">
        <v>22</v>
      </c>
      <c r="C57" s="187">
        <v>30</v>
      </c>
      <c r="D57" s="187">
        <v>1</v>
      </c>
      <c r="E57" s="187" t="s">
        <v>478</v>
      </c>
      <c r="F57" s="187" t="s">
        <v>387</v>
      </c>
      <c r="G57" s="53">
        <v>43213</v>
      </c>
      <c r="H57" s="249">
        <v>43213</v>
      </c>
      <c r="I57" s="19"/>
      <c r="J57" s="92">
        <v>1</v>
      </c>
      <c r="K57" s="153">
        <v>0.15</v>
      </c>
      <c r="L57" s="157">
        <f t="shared" si="2"/>
        <v>3</v>
      </c>
      <c r="M57" s="161">
        <f t="shared" si="3"/>
        <v>0.13636363636363635</v>
      </c>
      <c r="N57" s="32">
        <v>1</v>
      </c>
      <c r="O57" s="19">
        <v>43229</v>
      </c>
      <c r="P57" s="21">
        <v>-3</v>
      </c>
      <c r="Q57" s="5">
        <v>2</v>
      </c>
      <c r="R57" s="6">
        <v>2</v>
      </c>
      <c r="S57" s="6">
        <v>2</v>
      </c>
      <c r="T57" s="22">
        <v>0</v>
      </c>
      <c r="U57" s="22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22">
        <v>0</v>
      </c>
    </row>
    <row r="58" spans="1:28">
      <c r="A58" s="190">
        <v>3104</v>
      </c>
      <c r="B58" s="187" t="s">
        <v>22</v>
      </c>
      <c r="C58" s="187">
        <v>30</v>
      </c>
      <c r="D58" s="187">
        <v>1</v>
      </c>
      <c r="E58" s="187" t="s">
        <v>478</v>
      </c>
      <c r="F58" s="187" t="s">
        <v>387</v>
      </c>
      <c r="G58" s="53">
        <v>43252</v>
      </c>
      <c r="H58" s="249">
        <v>43252</v>
      </c>
      <c r="I58" s="19"/>
      <c r="J58" s="92">
        <v>1</v>
      </c>
      <c r="K58" s="153">
        <v>0.85</v>
      </c>
      <c r="L58" s="157">
        <f t="shared" si="2"/>
        <v>11</v>
      </c>
      <c r="M58" s="161">
        <f t="shared" si="3"/>
        <v>0.5</v>
      </c>
      <c r="N58" s="32">
        <v>3</v>
      </c>
      <c r="O58" s="19">
        <v>43252</v>
      </c>
      <c r="P58" s="21">
        <v>-3</v>
      </c>
      <c r="Q58" s="5">
        <v>2</v>
      </c>
      <c r="R58" s="6">
        <v>2</v>
      </c>
      <c r="S58" s="6">
        <v>2</v>
      </c>
      <c r="T58" s="22">
        <v>0</v>
      </c>
      <c r="U58" s="22">
        <v>1</v>
      </c>
      <c r="V58" s="6">
        <v>2</v>
      </c>
      <c r="W58" s="6">
        <v>2</v>
      </c>
      <c r="X58" s="6">
        <v>0</v>
      </c>
      <c r="Y58" s="6">
        <v>0</v>
      </c>
      <c r="Z58" s="6">
        <v>1</v>
      </c>
      <c r="AA58" s="22">
        <v>2</v>
      </c>
    </row>
    <row r="59" spans="1:28">
      <c r="A59" s="190">
        <v>3105</v>
      </c>
      <c r="B59" s="187" t="s">
        <v>22</v>
      </c>
      <c r="C59" s="187">
        <v>31</v>
      </c>
      <c r="D59" s="187">
        <v>1</v>
      </c>
      <c r="E59" s="187" t="s">
        <v>388</v>
      </c>
      <c r="F59" s="187" t="s">
        <v>43</v>
      </c>
      <c r="G59" s="53">
        <v>43213</v>
      </c>
      <c r="H59" s="249">
        <v>43213</v>
      </c>
      <c r="I59" s="19"/>
      <c r="J59" s="92">
        <v>1</v>
      </c>
      <c r="K59" s="153">
        <v>1</v>
      </c>
      <c r="L59" s="157">
        <f t="shared" si="2"/>
        <v>18</v>
      </c>
      <c r="M59" s="161">
        <f t="shared" si="3"/>
        <v>0.81818181818181823</v>
      </c>
      <c r="N59" s="32">
        <v>5</v>
      </c>
      <c r="O59" s="19">
        <v>43229</v>
      </c>
      <c r="P59" s="21"/>
      <c r="Q59" s="5">
        <v>3</v>
      </c>
      <c r="R59" s="6">
        <v>2</v>
      </c>
      <c r="S59" s="6">
        <v>3</v>
      </c>
      <c r="T59" s="22">
        <v>2</v>
      </c>
      <c r="U59" s="22">
        <v>2</v>
      </c>
      <c r="V59" s="6">
        <v>2</v>
      </c>
      <c r="W59" s="6">
        <v>2</v>
      </c>
      <c r="X59" s="6">
        <v>0</v>
      </c>
      <c r="Y59" s="6">
        <v>0</v>
      </c>
      <c r="Z59" s="6">
        <v>1</v>
      </c>
      <c r="AA59" s="22">
        <v>1</v>
      </c>
      <c r="AB59" s="18"/>
    </row>
    <row r="60" spans="1:28">
      <c r="A60" s="190">
        <v>3107</v>
      </c>
      <c r="B60" s="187" t="s">
        <v>22</v>
      </c>
      <c r="C60" s="187">
        <v>32</v>
      </c>
      <c r="D60" s="187">
        <v>1</v>
      </c>
      <c r="E60" s="187" t="s">
        <v>479</v>
      </c>
      <c r="F60" s="187" t="s">
        <v>389</v>
      </c>
      <c r="G60" s="53">
        <v>43213</v>
      </c>
      <c r="H60" s="249">
        <v>43213</v>
      </c>
      <c r="I60" s="19"/>
      <c r="J60" s="92">
        <v>1</v>
      </c>
      <c r="K60" s="153">
        <v>1</v>
      </c>
      <c r="L60" s="157">
        <f t="shared" si="2"/>
        <v>21</v>
      </c>
      <c r="M60" s="161">
        <f t="shared" si="3"/>
        <v>0.95454545454545459</v>
      </c>
      <c r="N60" s="32">
        <v>6</v>
      </c>
      <c r="O60" s="19">
        <v>43229</v>
      </c>
      <c r="P60" s="21"/>
      <c r="Q60" s="5">
        <v>3</v>
      </c>
      <c r="R60" s="6">
        <v>2</v>
      </c>
      <c r="S60" s="6">
        <v>3</v>
      </c>
      <c r="T60" s="22">
        <v>2</v>
      </c>
      <c r="U60" s="22">
        <v>2</v>
      </c>
      <c r="V60" s="6">
        <v>2</v>
      </c>
      <c r="W60" s="6">
        <v>2</v>
      </c>
      <c r="X60" s="6">
        <v>1</v>
      </c>
      <c r="Y60" s="6">
        <v>0</v>
      </c>
      <c r="Z60" s="6">
        <v>2</v>
      </c>
      <c r="AA60" s="22">
        <v>2</v>
      </c>
    </row>
    <row r="61" spans="1:28">
      <c r="A61" s="190">
        <v>3108</v>
      </c>
      <c r="B61" s="187" t="s">
        <v>22</v>
      </c>
      <c r="C61" s="187">
        <v>33</v>
      </c>
      <c r="D61" s="187">
        <v>2</v>
      </c>
      <c r="E61" s="187" t="s">
        <v>390</v>
      </c>
      <c r="F61" s="187" t="s">
        <v>54</v>
      </c>
      <c r="G61" s="53"/>
      <c r="H61" s="19"/>
      <c r="I61" s="19" t="s">
        <v>449</v>
      </c>
      <c r="J61" s="92">
        <v>1</v>
      </c>
      <c r="K61" s="153">
        <v>1</v>
      </c>
      <c r="L61" s="157">
        <f t="shared" si="2"/>
        <v>0</v>
      </c>
      <c r="M61" s="161">
        <f t="shared" si="3"/>
        <v>0</v>
      </c>
      <c r="N61" s="32">
        <v>1</v>
      </c>
      <c r="O61" s="19">
        <v>43252</v>
      </c>
      <c r="P61" s="21"/>
      <c r="Q61" s="5"/>
      <c r="R61" s="6"/>
      <c r="S61" s="6"/>
      <c r="T61" s="22"/>
      <c r="U61" s="22"/>
      <c r="V61" s="6"/>
      <c r="W61" s="6"/>
      <c r="X61" s="6"/>
      <c r="Y61" s="6"/>
      <c r="Z61" s="6"/>
      <c r="AA61" s="22"/>
    </row>
    <row r="62" spans="1:28">
      <c r="A62" s="190">
        <v>3109</v>
      </c>
      <c r="B62" s="187" t="s">
        <v>22</v>
      </c>
      <c r="C62" s="187">
        <v>34</v>
      </c>
      <c r="D62" s="187">
        <v>1</v>
      </c>
      <c r="E62" s="187" t="s">
        <v>480</v>
      </c>
      <c r="F62" s="187" t="s">
        <v>391</v>
      </c>
      <c r="G62" s="53">
        <v>43213</v>
      </c>
      <c r="H62" s="249">
        <v>43213</v>
      </c>
      <c r="I62" s="19"/>
      <c r="J62" s="92">
        <v>1</v>
      </c>
      <c r="K62" s="153">
        <v>1</v>
      </c>
      <c r="L62" s="157">
        <f t="shared" si="2"/>
        <v>8</v>
      </c>
      <c r="M62" s="161">
        <f t="shared" si="3"/>
        <v>0.36363636363636365</v>
      </c>
      <c r="N62" s="32">
        <v>2</v>
      </c>
      <c r="O62" s="19">
        <v>43229</v>
      </c>
      <c r="P62" s="21">
        <v>-3</v>
      </c>
      <c r="Q62" s="5">
        <v>2</v>
      </c>
      <c r="R62" s="6">
        <v>2</v>
      </c>
      <c r="S62" s="6">
        <v>2</v>
      </c>
      <c r="T62" s="22">
        <v>0</v>
      </c>
      <c r="U62" s="22">
        <v>0</v>
      </c>
      <c r="V62" s="6">
        <v>2</v>
      </c>
      <c r="W62" s="6">
        <v>2</v>
      </c>
      <c r="X62" s="6">
        <v>0</v>
      </c>
      <c r="Y62" s="6">
        <v>0</v>
      </c>
      <c r="Z62" s="6">
        <v>1</v>
      </c>
      <c r="AA62" s="22">
        <v>0</v>
      </c>
    </row>
    <row r="63" spans="1:28" ht="15" thickBot="1">
      <c r="A63" s="222">
        <v>3110</v>
      </c>
      <c r="B63" s="223" t="s">
        <v>22</v>
      </c>
      <c r="C63" s="223">
        <v>35</v>
      </c>
      <c r="D63" s="223">
        <v>1</v>
      </c>
      <c r="E63" s="223" t="s">
        <v>481</v>
      </c>
      <c r="F63" s="223" t="s">
        <v>392</v>
      </c>
      <c r="G63" s="232">
        <v>43213</v>
      </c>
      <c r="H63" s="250">
        <v>43213</v>
      </c>
      <c r="I63" s="208"/>
      <c r="J63" s="233">
        <v>1</v>
      </c>
      <c r="K63" s="234">
        <v>1</v>
      </c>
      <c r="L63" s="235">
        <f t="shared" si="2"/>
        <v>16</v>
      </c>
      <c r="M63" s="236">
        <f t="shared" si="3"/>
        <v>0.72727272727272729</v>
      </c>
      <c r="N63" s="217" t="s">
        <v>33</v>
      </c>
      <c r="O63" s="213">
        <v>43229</v>
      </c>
      <c r="P63" s="237"/>
      <c r="Q63" s="238">
        <v>3</v>
      </c>
      <c r="R63" s="208">
        <v>2</v>
      </c>
      <c r="S63" s="208">
        <v>2</v>
      </c>
      <c r="T63" s="218">
        <v>2</v>
      </c>
      <c r="U63" s="218">
        <v>2</v>
      </c>
      <c r="V63" s="208">
        <v>2</v>
      </c>
      <c r="W63" s="208">
        <v>2</v>
      </c>
      <c r="X63" s="208">
        <v>0</v>
      </c>
      <c r="Y63" s="208">
        <v>0</v>
      </c>
      <c r="Z63" s="208">
        <v>1</v>
      </c>
      <c r="AA63" s="218">
        <v>0</v>
      </c>
    </row>
    <row r="64" spans="1:28" ht="15" hidden="1" thickTop="1">
      <c r="A64" s="220">
        <v>3111</v>
      </c>
      <c r="B64" s="221" t="s">
        <v>23</v>
      </c>
      <c r="C64" s="221">
        <v>1</v>
      </c>
      <c r="D64" s="221">
        <v>1</v>
      </c>
      <c r="E64" s="221" t="s">
        <v>496</v>
      </c>
      <c r="F64" s="221" t="s">
        <v>50</v>
      </c>
      <c r="G64" s="239">
        <v>43251</v>
      </c>
      <c r="H64" s="251">
        <v>43250</v>
      </c>
      <c r="I64" s="214"/>
      <c r="J64" s="215">
        <v>1</v>
      </c>
      <c r="K64" s="240">
        <v>1</v>
      </c>
      <c r="L64" s="241">
        <f t="shared" si="2"/>
        <v>16</v>
      </c>
      <c r="M64" s="242">
        <f t="shared" si="3"/>
        <v>0.72727272727272729</v>
      </c>
      <c r="N64" s="216">
        <v>4</v>
      </c>
      <c r="O64" s="214">
        <v>43251</v>
      </c>
      <c r="P64" s="243">
        <v>-1</v>
      </c>
      <c r="Q64" s="244">
        <v>2</v>
      </c>
      <c r="R64" s="211">
        <v>2</v>
      </c>
      <c r="S64" s="211">
        <v>2</v>
      </c>
      <c r="T64" s="219">
        <v>2</v>
      </c>
      <c r="U64" s="219">
        <v>2</v>
      </c>
      <c r="V64" s="211">
        <v>2</v>
      </c>
      <c r="W64" s="211">
        <v>2</v>
      </c>
      <c r="X64" s="211">
        <v>1</v>
      </c>
      <c r="Y64" s="211">
        <v>1</v>
      </c>
      <c r="Z64" s="211">
        <v>1</v>
      </c>
      <c r="AA64" s="219">
        <v>0</v>
      </c>
    </row>
    <row r="65" spans="1:27" ht="15" hidden="1" thickTop="1">
      <c r="A65" s="190">
        <v>3112</v>
      </c>
      <c r="B65" s="187" t="s">
        <v>23</v>
      </c>
      <c r="C65" s="187">
        <v>2</v>
      </c>
      <c r="D65" s="187">
        <v>1</v>
      </c>
      <c r="E65" s="187" t="s">
        <v>188</v>
      </c>
      <c r="F65" s="187" t="s">
        <v>393</v>
      </c>
      <c r="G65" s="5"/>
      <c r="H65" s="19"/>
      <c r="I65" s="19"/>
      <c r="J65" s="92">
        <v>1</v>
      </c>
      <c r="K65" s="153">
        <v>1</v>
      </c>
      <c r="L65" s="157">
        <f t="shared" si="2"/>
        <v>0</v>
      </c>
      <c r="M65" s="161">
        <f t="shared" si="3"/>
        <v>0</v>
      </c>
      <c r="N65" s="32"/>
      <c r="O65" s="19"/>
      <c r="P65" s="21"/>
      <c r="Q65" s="5"/>
      <c r="R65" s="6"/>
      <c r="S65" s="6"/>
      <c r="T65" s="22"/>
      <c r="U65" s="22"/>
      <c r="V65" s="6"/>
      <c r="W65" s="6"/>
      <c r="X65" s="6"/>
      <c r="Y65" s="6"/>
      <c r="Z65" s="6"/>
      <c r="AA65" s="22"/>
    </row>
    <row r="66" spans="1:27" ht="15" hidden="1" thickTop="1">
      <c r="A66" s="190">
        <v>3113</v>
      </c>
      <c r="B66" s="187" t="s">
        <v>23</v>
      </c>
      <c r="C66" s="187">
        <v>3</v>
      </c>
      <c r="D66" s="187">
        <v>2</v>
      </c>
      <c r="E66" s="187" t="s">
        <v>506</v>
      </c>
      <c r="F66" s="187" t="s">
        <v>394</v>
      </c>
      <c r="G66" s="53">
        <v>43251</v>
      </c>
      <c r="H66" s="249">
        <v>43250</v>
      </c>
      <c r="I66" s="19"/>
      <c r="J66" s="92">
        <v>1</v>
      </c>
      <c r="K66" s="153">
        <v>1</v>
      </c>
      <c r="L66" s="157">
        <f t="shared" si="2"/>
        <v>20</v>
      </c>
      <c r="M66" s="161">
        <f t="shared" si="3"/>
        <v>0.90909090909090906</v>
      </c>
      <c r="N66" s="32">
        <v>5</v>
      </c>
      <c r="O66" s="19">
        <v>43251</v>
      </c>
      <c r="P66" s="21"/>
      <c r="Q66" s="5">
        <v>3</v>
      </c>
      <c r="R66" s="6">
        <v>2</v>
      </c>
      <c r="S66" s="6">
        <v>3</v>
      </c>
      <c r="T66" s="22">
        <v>2</v>
      </c>
      <c r="U66" s="22">
        <v>1</v>
      </c>
      <c r="V66" s="6">
        <v>2</v>
      </c>
      <c r="W66" s="6">
        <v>2</v>
      </c>
      <c r="X66" s="6">
        <v>1</v>
      </c>
      <c r="Y66" s="6">
        <v>1</v>
      </c>
      <c r="Z66" s="6">
        <v>1</v>
      </c>
      <c r="AA66" s="22">
        <v>2</v>
      </c>
    </row>
    <row r="67" spans="1:27" ht="15" hidden="1" thickTop="1">
      <c r="A67" s="190">
        <v>3114</v>
      </c>
      <c r="B67" s="187" t="s">
        <v>23</v>
      </c>
      <c r="C67" s="187">
        <v>4</v>
      </c>
      <c r="D67" s="187">
        <v>1</v>
      </c>
      <c r="E67" s="187" t="s">
        <v>497</v>
      </c>
      <c r="F67" s="187" t="s">
        <v>51</v>
      </c>
      <c r="G67" s="53">
        <v>43251</v>
      </c>
      <c r="H67" s="249">
        <v>43250</v>
      </c>
      <c r="I67" s="19" t="s">
        <v>558</v>
      </c>
      <c r="J67" s="92">
        <v>1</v>
      </c>
      <c r="K67" s="153">
        <v>1</v>
      </c>
      <c r="L67" s="157">
        <f t="shared" si="2"/>
        <v>-3</v>
      </c>
      <c r="M67" s="161">
        <f t="shared" si="3"/>
        <v>-0.13636363636363635</v>
      </c>
      <c r="N67" s="32"/>
      <c r="O67" s="19">
        <v>43251</v>
      </c>
      <c r="P67" s="21">
        <v>-3</v>
      </c>
      <c r="Q67" s="5"/>
      <c r="R67" s="6"/>
      <c r="S67" s="6"/>
      <c r="T67" s="22"/>
      <c r="U67" s="22"/>
      <c r="V67" s="6"/>
      <c r="W67" s="6"/>
      <c r="X67" s="6"/>
      <c r="Y67" s="6"/>
      <c r="Z67" s="6"/>
      <c r="AA67" s="22"/>
    </row>
    <row r="68" spans="1:27" ht="15" thickTop="1">
      <c r="A68" s="190">
        <v>3177</v>
      </c>
      <c r="B68" s="187" t="s">
        <v>22</v>
      </c>
      <c r="C68" s="187">
        <v>35</v>
      </c>
      <c r="D68" s="187">
        <v>2</v>
      </c>
      <c r="E68" s="187" t="s">
        <v>507</v>
      </c>
      <c r="F68" s="187" t="s">
        <v>396</v>
      </c>
      <c r="G68" s="53">
        <v>43251</v>
      </c>
      <c r="H68" s="249">
        <v>43251</v>
      </c>
      <c r="I68" s="19" t="s">
        <v>557</v>
      </c>
      <c r="J68" s="92">
        <v>1</v>
      </c>
      <c r="K68" s="153">
        <v>1</v>
      </c>
      <c r="L68" s="157">
        <f t="shared" si="2"/>
        <v>-2</v>
      </c>
      <c r="M68" s="161">
        <f t="shared" si="3"/>
        <v>-9.0909090909090912E-2</v>
      </c>
      <c r="N68" s="32">
        <v>1</v>
      </c>
      <c r="O68" s="19">
        <v>43251</v>
      </c>
      <c r="P68" s="21">
        <v>-2</v>
      </c>
      <c r="Q68" s="5"/>
      <c r="R68" s="6"/>
      <c r="S68" s="6"/>
      <c r="T68" s="22"/>
      <c r="U68" s="22"/>
      <c r="V68" s="6"/>
      <c r="W68" s="6"/>
      <c r="X68" s="6"/>
      <c r="Y68" s="6"/>
      <c r="Z68" s="6"/>
      <c r="AA68" s="22"/>
    </row>
    <row r="69" spans="1:27" hidden="1">
      <c r="A69" s="190">
        <v>3116</v>
      </c>
      <c r="B69" s="187" t="s">
        <v>23</v>
      </c>
      <c r="C69" s="187">
        <v>7</v>
      </c>
      <c r="D69" s="187">
        <v>2</v>
      </c>
      <c r="E69" s="187" t="s">
        <v>397</v>
      </c>
      <c r="F69" s="187" t="s">
        <v>398</v>
      </c>
      <c r="G69" s="53">
        <v>43251</v>
      </c>
      <c r="H69" s="249">
        <v>43250</v>
      </c>
      <c r="I69" s="19"/>
      <c r="J69" s="92">
        <v>1</v>
      </c>
      <c r="K69" s="153">
        <v>1</v>
      </c>
      <c r="L69" s="157">
        <f t="shared" ref="L69:L101" si="4">SUM(P69:AA69)</f>
        <v>16</v>
      </c>
      <c r="M69" s="161">
        <f t="shared" ref="M69:M101" si="5">L69/$L$2</f>
        <v>0.72727272727272729</v>
      </c>
      <c r="N69" s="32">
        <v>4</v>
      </c>
      <c r="O69" s="19">
        <v>43251</v>
      </c>
      <c r="P69" s="21">
        <v>-1</v>
      </c>
      <c r="Q69" s="5">
        <v>2</v>
      </c>
      <c r="R69" s="6">
        <v>2</v>
      </c>
      <c r="S69" s="6">
        <v>2</v>
      </c>
      <c r="T69" s="22">
        <v>2</v>
      </c>
      <c r="U69" s="22">
        <v>2</v>
      </c>
      <c r="V69" s="6">
        <v>2</v>
      </c>
      <c r="W69" s="6">
        <v>2</v>
      </c>
      <c r="X69" s="6">
        <v>1</v>
      </c>
      <c r="Y69" s="6">
        <v>1</v>
      </c>
      <c r="Z69" s="6">
        <v>1</v>
      </c>
      <c r="AA69" s="22">
        <v>0</v>
      </c>
    </row>
    <row r="70" spans="1:27" hidden="1">
      <c r="A70" s="190">
        <v>3117</v>
      </c>
      <c r="B70" s="187" t="s">
        <v>23</v>
      </c>
      <c r="C70" s="187">
        <v>8</v>
      </c>
      <c r="D70" s="187">
        <v>2</v>
      </c>
      <c r="E70" s="187" t="s">
        <v>508</v>
      </c>
      <c r="F70" s="187" t="s">
        <v>399</v>
      </c>
      <c r="G70" s="53">
        <v>43251</v>
      </c>
      <c r="H70" s="249">
        <v>43250</v>
      </c>
      <c r="I70" s="6"/>
      <c r="J70" s="92">
        <v>1</v>
      </c>
      <c r="K70" s="153">
        <v>1</v>
      </c>
      <c r="L70" s="157">
        <f>SUM(P70:AA70)</f>
        <v>19</v>
      </c>
      <c r="M70" s="161">
        <f>L70/$L$2</f>
        <v>0.86363636363636365</v>
      </c>
      <c r="N70" s="32">
        <v>5</v>
      </c>
      <c r="O70" s="19">
        <v>43251</v>
      </c>
      <c r="P70" s="21">
        <v>-1</v>
      </c>
      <c r="Q70" s="5">
        <v>2</v>
      </c>
      <c r="R70" s="6">
        <v>2</v>
      </c>
      <c r="S70" s="6">
        <v>2</v>
      </c>
      <c r="T70" s="22">
        <v>2</v>
      </c>
      <c r="U70" s="22">
        <v>2</v>
      </c>
      <c r="V70" s="6">
        <v>2</v>
      </c>
      <c r="W70" s="6">
        <v>2</v>
      </c>
      <c r="X70" s="6">
        <v>1</v>
      </c>
      <c r="Y70" s="6">
        <v>1</v>
      </c>
      <c r="Z70" s="6">
        <v>2</v>
      </c>
      <c r="AA70" s="22">
        <v>2</v>
      </c>
    </row>
    <row r="71" spans="1:27" hidden="1">
      <c r="A71" s="190">
        <v>3178</v>
      </c>
      <c r="B71" s="187" t="s">
        <v>23</v>
      </c>
      <c r="C71" s="187">
        <v>9</v>
      </c>
      <c r="D71" s="187">
        <v>2</v>
      </c>
      <c r="E71" s="187" t="s">
        <v>400</v>
      </c>
      <c r="F71" s="187" t="s">
        <v>401</v>
      </c>
      <c r="G71" s="53">
        <v>43251</v>
      </c>
      <c r="H71" s="249">
        <v>43250</v>
      </c>
      <c r="I71" s="19"/>
      <c r="J71" s="92">
        <v>1</v>
      </c>
      <c r="K71" s="153">
        <v>1</v>
      </c>
      <c r="L71" s="157">
        <f t="shared" si="4"/>
        <v>20</v>
      </c>
      <c r="M71" s="161">
        <f t="shared" si="5"/>
        <v>0.90909090909090906</v>
      </c>
      <c r="N71" s="32">
        <v>5</v>
      </c>
      <c r="O71" s="19">
        <v>43251</v>
      </c>
      <c r="P71" s="21"/>
      <c r="Q71" s="5">
        <v>3</v>
      </c>
      <c r="R71" s="6">
        <v>2</v>
      </c>
      <c r="S71" s="6">
        <v>3</v>
      </c>
      <c r="T71" s="22">
        <v>2</v>
      </c>
      <c r="U71" s="22">
        <v>1</v>
      </c>
      <c r="V71" s="6">
        <v>2</v>
      </c>
      <c r="W71" s="6">
        <v>2</v>
      </c>
      <c r="X71" s="6">
        <v>1</v>
      </c>
      <c r="Y71" s="6">
        <v>1</v>
      </c>
      <c r="Z71" s="6">
        <v>1</v>
      </c>
      <c r="AA71" s="22">
        <v>2</v>
      </c>
    </row>
    <row r="72" spans="1:27" hidden="1">
      <c r="A72" s="190">
        <v>3118</v>
      </c>
      <c r="B72" s="187" t="s">
        <v>23</v>
      </c>
      <c r="C72" s="187">
        <v>10</v>
      </c>
      <c r="D72" s="187">
        <v>2</v>
      </c>
      <c r="E72" s="187" t="s">
        <v>509</v>
      </c>
      <c r="F72" s="187" t="s">
        <v>402</v>
      </c>
      <c r="G72" s="53">
        <v>43251</v>
      </c>
      <c r="H72" s="249">
        <v>43250</v>
      </c>
      <c r="I72" s="19"/>
      <c r="J72" s="92">
        <v>1</v>
      </c>
      <c r="K72" s="153">
        <v>1</v>
      </c>
      <c r="L72" s="157">
        <f t="shared" si="4"/>
        <v>17</v>
      </c>
      <c r="M72" s="161">
        <f t="shared" si="5"/>
        <v>0.77272727272727271</v>
      </c>
      <c r="N72" s="32" t="s">
        <v>34</v>
      </c>
      <c r="O72" s="19">
        <v>43251</v>
      </c>
      <c r="P72" s="21">
        <v>-1</v>
      </c>
      <c r="Q72" s="5">
        <v>2</v>
      </c>
      <c r="R72" s="6">
        <v>2</v>
      </c>
      <c r="S72" s="6">
        <v>2</v>
      </c>
      <c r="T72" s="22">
        <v>2</v>
      </c>
      <c r="U72" s="22">
        <v>2</v>
      </c>
      <c r="V72" s="6">
        <v>2</v>
      </c>
      <c r="W72" s="6">
        <v>2</v>
      </c>
      <c r="X72" s="6">
        <v>0</v>
      </c>
      <c r="Y72" s="6">
        <v>1</v>
      </c>
      <c r="Z72" s="6">
        <v>1</v>
      </c>
      <c r="AA72" s="22">
        <v>2</v>
      </c>
    </row>
    <row r="73" spans="1:27" hidden="1">
      <c r="A73" s="190">
        <v>3119</v>
      </c>
      <c r="B73" s="187" t="s">
        <v>23</v>
      </c>
      <c r="C73" s="187">
        <v>11</v>
      </c>
      <c r="D73" s="187">
        <v>2</v>
      </c>
      <c r="E73" s="187" t="s">
        <v>510</v>
      </c>
      <c r="F73" s="187" t="s">
        <v>403</v>
      </c>
      <c r="G73" s="53">
        <v>43251</v>
      </c>
      <c r="H73" s="249">
        <v>43251</v>
      </c>
      <c r="I73" s="6"/>
      <c r="J73" s="92">
        <v>1</v>
      </c>
      <c r="K73" s="153">
        <v>1</v>
      </c>
      <c r="L73" s="157">
        <f t="shared" si="4"/>
        <v>15</v>
      </c>
      <c r="M73" s="161">
        <f t="shared" si="5"/>
        <v>0.68181818181818177</v>
      </c>
      <c r="N73" s="32">
        <v>4</v>
      </c>
      <c r="O73" s="19">
        <v>43251</v>
      </c>
      <c r="P73" s="21">
        <v>-4</v>
      </c>
      <c r="Q73" s="5">
        <v>2</v>
      </c>
      <c r="R73" s="6">
        <v>2</v>
      </c>
      <c r="S73" s="6">
        <v>2</v>
      </c>
      <c r="T73" s="22">
        <v>2</v>
      </c>
      <c r="U73" s="22">
        <v>2</v>
      </c>
      <c r="V73" s="6">
        <v>2</v>
      </c>
      <c r="W73" s="6">
        <v>2</v>
      </c>
      <c r="X73" s="6">
        <v>1</v>
      </c>
      <c r="Y73" s="6">
        <v>1</v>
      </c>
      <c r="Z73" s="6">
        <v>1</v>
      </c>
      <c r="AA73" s="22">
        <v>2</v>
      </c>
    </row>
    <row r="74" spans="1:27" hidden="1">
      <c r="A74" s="190">
        <v>3174</v>
      </c>
      <c r="B74" s="187" t="s">
        <v>23</v>
      </c>
      <c r="C74" s="187">
        <v>12</v>
      </c>
      <c r="D74" s="187">
        <v>2</v>
      </c>
      <c r="E74" s="187" t="s">
        <v>511</v>
      </c>
      <c r="F74" s="187" t="s">
        <v>94</v>
      </c>
      <c r="G74" s="53">
        <v>43251</v>
      </c>
      <c r="H74" s="249">
        <v>43250</v>
      </c>
      <c r="I74" s="6"/>
      <c r="J74" s="92">
        <v>1</v>
      </c>
      <c r="K74" s="153">
        <v>1</v>
      </c>
      <c r="L74" s="157">
        <f t="shared" si="4"/>
        <v>19</v>
      </c>
      <c r="M74" s="161">
        <f t="shared" si="5"/>
        <v>0.86363636363636365</v>
      </c>
      <c r="N74" s="32">
        <v>5</v>
      </c>
      <c r="O74" s="19">
        <v>43251</v>
      </c>
      <c r="P74" s="21">
        <v>-1</v>
      </c>
      <c r="Q74" s="5">
        <v>2</v>
      </c>
      <c r="R74" s="6">
        <v>2</v>
      </c>
      <c r="S74" s="6">
        <v>2</v>
      </c>
      <c r="T74" s="22">
        <v>2</v>
      </c>
      <c r="U74" s="22">
        <v>2</v>
      </c>
      <c r="V74" s="6">
        <v>2</v>
      </c>
      <c r="W74" s="6">
        <v>2</v>
      </c>
      <c r="X74" s="6">
        <v>1</v>
      </c>
      <c r="Y74" s="6">
        <v>1</v>
      </c>
      <c r="Z74" s="6">
        <v>2</v>
      </c>
      <c r="AA74" s="22">
        <v>2</v>
      </c>
    </row>
    <row r="75" spans="1:27" hidden="1">
      <c r="A75" s="190">
        <v>3121</v>
      </c>
      <c r="B75" s="187" t="s">
        <v>23</v>
      </c>
      <c r="C75" s="187">
        <v>13</v>
      </c>
      <c r="D75" s="187">
        <v>1</v>
      </c>
      <c r="E75" s="187" t="s">
        <v>498</v>
      </c>
      <c r="F75" s="187" t="s">
        <v>404</v>
      </c>
      <c r="G75" s="53"/>
      <c r="H75" s="19"/>
      <c r="I75" s="6"/>
      <c r="J75" s="92">
        <v>1</v>
      </c>
      <c r="K75" s="153">
        <v>0.5</v>
      </c>
      <c r="L75" s="157">
        <f t="shared" si="4"/>
        <v>0</v>
      </c>
      <c r="M75" s="161">
        <f t="shared" si="5"/>
        <v>0</v>
      </c>
      <c r="N75" s="32"/>
      <c r="O75" s="19"/>
      <c r="P75" s="21"/>
      <c r="Q75" s="5"/>
      <c r="R75" s="6"/>
      <c r="S75" s="6"/>
      <c r="T75" s="22"/>
      <c r="U75" s="22"/>
      <c r="V75" s="6"/>
      <c r="W75" s="6"/>
      <c r="X75" s="6"/>
      <c r="Y75" s="6"/>
      <c r="Z75" s="6"/>
      <c r="AA75" s="22"/>
    </row>
    <row r="76" spans="1:27" hidden="1">
      <c r="A76" s="190">
        <v>3121</v>
      </c>
      <c r="B76" s="187" t="s">
        <v>23</v>
      </c>
      <c r="C76" s="187">
        <v>13</v>
      </c>
      <c r="D76" s="187">
        <v>1</v>
      </c>
      <c r="E76" s="187" t="s">
        <v>498</v>
      </c>
      <c r="F76" s="187" t="s">
        <v>404</v>
      </c>
      <c r="G76" s="53"/>
      <c r="H76" s="19">
        <v>43259</v>
      </c>
      <c r="I76" s="6"/>
      <c r="J76" s="92">
        <v>1</v>
      </c>
      <c r="K76" s="153">
        <v>0.5</v>
      </c>
      <c r="L76" s="157">
        <f t="shared" si="4"/>
        <v>19</v>
      </c>
      <c r="M76" s="161">
        <f t="shared" si="5"/>
        <v>0.86363636363636365</v>
      </c>
      <c r="N76" s="32" t="s">
        <v>33</v>
      </c>
      <c r="O76" s="19">
        <v>43259</v>
      </c>
      <c r="P76" s="21"/>
      <c r="Q76" s="5">
        <v>2</v>
      </c>
      <c r="R76" s="6">
        <v>2</v>
      </c>
      <c r="S76" s="6">
        <v>2</v>
      </c>
      <c r="T76" s="22">
        <v>2</v>
      </c>
      <c r="U76" s="22">
        <v>2</v>
      </c>
      <c r="V76" s="6">
        <v>2</v>
      </c>
      <c r="W76" s="6">
        <v>2</v>
      </c>
      <c r="X76" s="6">
        <v>1</v>
      </c>
      <c r="Y76" s="6">
        <v>1</v>
      </c>
      <c r="Z76" s="6">
        <v>1</v>
      </c>
      <c r="AA76" s="22">
        <v>2</v>
      </c>
    </row>
    <row r="77" spans="1:27" hidden="1">
      <c r="A77" s="190">
        <v>3122</v>
      </c>
      <c r="B77" s="187" t="s">
        <v>23</v>
      </c>
      <c r="C77" s="187">
        <v>14</v>
      </c>
      <c r="D77" s="187">
        <v>1</v>
      </c>
      <c r="E77" s="187" t="s">
        <v>499</v>
      </c>
      <c r="F77" s="187" t="s">
        <v>405</v>
      </c>
      <c r="G77" s="53">
        <v>43251</v>
      </c>
      <c r="H77" s="249">
        <v>43250</v>
      </c>
      <c r="I77" s="6"/>
      <c r="J77" s="92">
        <v>1</v>
      </c>
      <c r="K77" s="153">
        <v>1</v>
      </c>
      <c r="L77" s="157">
        <f t="shared" si="4"/>
        <v>10</v>
      </c>
      <c r="M77" s="161">
        <f t="shared" si="5"/>
        <v>0.45454545454545453</v>
      </c>
      <c r="N77" s="32" t="s">
        <v>31</v>
      </c>
      <c r="O77" s="19">
        <v>43251</v>
      </c>
      <c r="P77" s="21">
        <v>-3</v>
      </c>
      <c r="Q77" s="5">
        <v>2</v>
      </c>
      <c r="R77" s="6">
        <v>2</v>
      </c>
      <c r="S77" s="6">
        <v>2</v>
      </c>
      <c r="T77" s="22">
        <v>0</v>
      </c>
      <c r="U77" s="22">
        <v>0</v>
      </c>
      <c r="V77" s="6">
        <v>2</v>
      </c>
      <c r="W77" s="6">
        <v>2</v>
      </c>
      <c r="X77" s="6">
        <v>0</v>
      </c>
      <c r="Y77" s="6">
        <v>0</v>
      </c>
      <c r="Z77" s="6">
        <v>1</v>
      </c>
      <c r="AA77" s="22">
        <v>2</v>
      </c>
    </row>
    <row r="78" spans="1:27" hidden="1">
      <c r="A78" s="190">
        <v>3123</v>
      </c>
      <c r="B78" s="187" t="s">
        <v>23</v>
      </c>
      <c r="C78" s="187">
        <v>15</v>
      </c>
      <c r="D78" s="187">
        <v>1</v>
      </c>
      <c r="E78" s="187" t="s">
        <v>500</v>
      </c>
      <c r="F78" s="187" t="s">
        <v>406</v>
      </c>
      <c r="G78" s="5"/>
      <c r="H78" s="19"/>
      <c r="I78" s="6"/>
      <c r="J78" s="92">
        <v>1</v>
      </c>
      <c r="K78" s="153">
        <v>1</v>
      </c>
      <c r="L78" s="157">
        <f t="shared" si="4"/>
        <v>0</v>
      </c>
      <c r="M78" s="161">
        <f t="shared" si="5"/>
        <v>0</v>
      </c>
      <c r="N78" s="32"/>
      <c r="O78" s="19"/>
      <c r="P78" s="21"/>
      <c r="Q78" s="5"/>
      <c r="R78" s="6"/>
      <c r="S78" s="6"/>
      <c r="T78" s="22"/>
      <c r="U78" s="22"/>
      <c r="V78" s="6"/>
      <c r="W78" s="6"/>
      <c r="X78" s="6"/>
      <c r="Y78" s="6"/>
      <c r="Z78" s="6"/>
      <c r="AA78" s="22"/>
    </row>
    <row r="79" spans="1:27" hidden="1">
      <c r="A79" s="190">
        <v>3124</v>
      </c>
      <c r="B79" s="187" t="s">
        <v>23</v>
      </c>
      <c r="C79" s="187">
        <v>16</v>
      </c>
      <c r="D79" s="187">
        <v>1</v>
      </c>
      <c r="E79" s="187" t="s">
        <v>501</v>
      </c>
      <c r="F79" s="187" t="s">
        <v>407</v>
      </c>
      <c r="G79" s="53">
        <v>43252</v>
      </c>
      <c r="H79" s="249">
        <v>43252</v>
      </c>
      <c r="I79" s="6"/>
      <c r="J79" s="92">
        <v>1</v>
      </c>
      <c r="K79" s="153">
        <v>1</v>
      </c>
      <c r="L79" s="157">
        <f t="shared" si="4"/>
        <v>17</v>
      </c>
      <c r="M79" s="161">
        <f t="shared" si="5"/>
        <v>0.77272727272727271</v>
      </c>
      <c r="N79" s="32" t="s">
        <v>34</v>
      </c>
      <c r="O79" s="19">
        <v>43252</v>
      </c>
      <c r="P79" s="21">
        <v>-1</v>
      </c>
      <c r="Q79" s="5">
        <v>2</v>
      </c>
      <c r="R79" s="6">
        <v>2</v>
      </c>
      <c r="S79" s="6">
        <v>2</v>
      </c>
      <c r="T79" s="22">
        <v>2</v>
      </c>
      <c r="U79" s="22">
        <v>2</v>
      </c>
      <c r="V79" s="6">
        <v>2</v>
      </c>
      <c r="W79" s="6">
        <v>2</v>
      </c>
      <c r="X79" s="6">
        <v>1</v>
      </c>
      <c r="Y79" s="6">
        <v>1</v>
      </c>
      <c r="Z79" s="6">
        <v>1</v>
      </c>
      <c r="AA79" s="22">
        <v>1</v>
      </c>
    </row>
    <row r="80" spans="1:27" hidden="1">
      <c r="A80" s="190">
        <v>3098</v>
      </c>
      <c r="B80" s="187" t="s">
        <v>23</v>
      </c>
      <c r="C80" s="187">
        <v>17</v>
      </c>
      <c r="D80" s="187">
        <v>1</v>
      </c>
      <c r="E80" s="187" t="s">
        <v>495</v>
      </c>
      <c r="F80" s="187" t="s">
        <v>163</v>
      </c>
      <c r="G80" s="53">
        <v>43251</v>
      </c>
      <c r="H80" s="249">
        <v>43245</v>
      </c>
      <c r="I80" s="6"/>
      <c r="J80" s="92">
        <v>1</v>
      </c>
      <c r="K80" s="153">
        <v>1</v>
      </c>
      <c r="L80" s="157">
        <f t="shared" si="4"/>
        <v>18</v>
      </c>
      <c r="M80" s="161">
        <f t="shared" si="5"/>
        <v>0.81818181818181823</v>
      </c>
      <c r="N80" s="32" t="s">
        <v>33</v>
      </c>
      <c r="O80" s="133">
        <v>43248</v>
      </c>
      <c r="P80" s="21"/>
      <c r="Q80" s="5">
        <v>1</v>
      </c>
      <c r="R80" s="6">
        <v>2</v>
      </c>
      <c r="S80" s="6">
        <v>2</v>
      </c>
      <c r="T80" s="22">
        <v>2</v>
      </c>
      <c r="U80" s="22">
        <v>2</v>
      </c>
      <c r="V80" s="6">
        <v>2</v>
      </c>
      <c r="W80" s="6">
        <v>1</v>
      </c>
      <c r="X80" s="6">
        <v>1</v>
      </c>
      <c r="Y80" s="6">
        <v>1</v>
      </c>
      <c r="Z80" s="6">
        <v>2</v>
      </c>
      <c r="AA80" s="22">
        <v>2</v>
      </c>
    </row>
    <row r="81" spans="1:27" hidden="1">
      <c r="A81" s="190">
        <v>3126</v>
      </c>
      <c r="B81" s="187" t="s">
        <v>23</v>
      </c>
      <c r="C81" s="187">
        <v>18</v>
      </c>
      <c r="D81" s="187">
        <v>2</v>
      </c>
      <c r="E81" s="187" t="s">
        <v>512</v>
      </c>
      <c r="F81" s="187" t="s">
        <v>408</v>
      </c>
      <c r="G81" s="53">
        <v>43251</v>
      </c>
      <c r="H81" s="249">
        <v>43250</v>
      </c>
      <c r="I81" s="6"/>
      <c r="J81" s="92">
        <v>1</v>
      </c>
      <c r="K81" s="153">
        <v>1</v>
      </c>
      <c r="L81" s="157">
        <f t="shared" si="4"/>
        <v>15</v>
      </c>
      <c r="M81" s="161">
        <f t="shared" si="5"/>
        <v>0.68181818181818177</v>
      </c>
      <c r="N81" s="32" t="s">
        <v>30</v>
      </c>
      <c r="O81" s="19">
        <v>43251</v>
      </c>
      <c r="P81" s="21">
        <v>-3</v>
      </c>
      <c r="Q81" s="5">
        <v>2</v>
      </c>
      <c r="R81" s="6">
        <v>2</v>
      </c>
      <c r="S81" s="6">
        <v>2</v>
      </c>
      <c r="T81" s="22">
        <v>2</v>
      </c>
      <c r="U81" s="22">
        <v>2</v>
      </c>
      <c r="V81" s="6">
        <v>2</v>
      </c>
      <c r="W81" s="6">
        <v>2</v>
      </c>
      <c r="X81" s="6">
        <v>1</v>
      </c>
      <c r="Y81" s="6">
        <v>1</v>
      </c>
      <c r="Z81" s="6">
        <v>1</v>
      </c>
      <c r="AA81" s="22">
        <v>1</v>
      </c>
    </row>
    <row r="82" spans="1:27" hidden="1">
      <c r="A82" s="190">
        <v>3127</v>
      </c>
      <c r="B82" s="187" t="s">
        <v>23</v>
      </c>
      <c r="C82" s="187">
        <v>19</v>
      </c>
      <c r="D82" s="187" t="s">
        <v>549</v>
      </c>
      <c r="E82" s="187" t="s">
        <v>531</v>
      </c>
      <c r="F82" s="187" t="s">
        <v>409</v>
      </c>
      <c r="G82" s="5"/>
      <c r="H82" s="19"/>
      <c r="I82" s="6"/>
      <c r="J82" s="92">
        <v>1</v>
      </c>
      <c r="K82" s="153">
        <v>1</v>
      </c>
      <c r="L82" s="157">
        <f t="shared" si="4"/>
        <v>0</v>
      </c>
      <c r="M82" s="161">
        <f t="shared" si="5"/>
        <v>0</v>
      </c>
      <c r="N82" s="32"/>
      <c r="O82" s="133"/>
      <c r="P82" s="21"/>
      <c r="Q82" s="5"/>
      <c r="R82" s="6"/>
      <c r="S82" s="6"/>
      <c r="T82" s="22"/>
      <c r="U82" s="22"/>
      <c r="V82" s="6"/>
      <c r="W82" s="6"/>
      <c r="X82" s="6"/>
      <c r="Y82" s="6"/>
      <c r="Z82" s="6"/>
      <c r="AA82" s="22"/>
    </row>
    <row r="83" spans="1:27" hidden="1">
      <c r="A83" s="190">
        <v>3128</v>
      </c>
      <c r="B83" s="187" t="s">
        <v>23</v>
      </c>
      <c r="C83" s="187">
        <v>20</v>
      </c>
      <c r="D83" s="187">
        <v>1</v>
      </c>
      <c r="E83" s="187" t="s">
        <v>0</v>
      </c>
      <c r="F83" s="187" t="s">
        <v>410</v>
      </c>
      <c r="G83" s="5"/>
      <c r="H83" s="19"/>
      <c r="I83" s="6" t="s">
        <v>561</v>
      </c>
      <c r="J83" s="92">
        <v>1</v>
      </c>
      <c r="K83" s="153">
        <v>1</v>
      </c>
      <c r="L83" s="157">
        <f t="shared" si="4"/>
        <v>8</v>
      </c>
      <c r="M83" s="161">
        <f t="shared" si="5"/>
        <v>0.36363636363636365</v>
      </c>
      <c r="N83" s="32">
        <v>2</v>
      </c>
      <c r="O83" s="133">
        <v>43259</v>
      </c>
      <c r="P83" s="21">
        <v>-5</v>
      </c>
      <c r="Q83" s="5">
        <v>2</v>
      </c>
      <c r="R83" s="6">
        <v>2</v>
      </c>
      <c r="S83" s="6">
        <v>2</v>
      </c>
      <c r="T83" s="22">
        <v>1</v>
      </c>
      <c r="U83" s="22">
        <v>0</v>
      </c>
      <c r="V83" s="6">
        <v>2</v>
      </c>
      <c r="W83" s="6">
        <v>2</v>
      </c>
      <c r="X83" s="6">
        <v>0</v>
      </c>
      <c r="Y83" s="6">
        <v>0</v>
      </c>
      <c r="Z83" s="6">
        <v>1</v>
      </c>
      <c r="AA83" s="22">
        <v>1</v>
      </c>
    </row>
    <row r="84" spans="1:27" hidden="1">
      <c r="A84" s="190">
        <v>3129</v>
      </c>
      <c r="B84" s="187" t="s">
        <v>23</v>
      </c>
      <c r="C84" s="187">
        <v>21</v>
      </c>
      <c r="D84" s="187" t="s">
        <v>450</v>
      </c>
      <c r="E84" s="187" t="s">
        <v>502</v>
      </c>
      <c r="F84" s="187" t="s">
        <v>411</v>
      </c>
      <c r="G84" s="53"/>
      <c r="H84" s="19"/>
      <c r="I84" s="6"/>
      <c r="J84" s="92">
        <v>1</v>
      </c>
      <c r="K84" s="153">
        <v>1</v>
      </c>
      <c r="L84" s="157">
        <f t="shared" si="4"/>
        <v>0</v>
      </c>
      <c r="M84" s="161">
        <f t="shared" si="5"/>
        <v>0</v>
      </c>
      <c r="N84" s="32"/>
      <c r="O84" s="133"/>
      <c r="P84" s="21"/>
      <c r="Q84" s="5"/>
      <c r="R84" s="6"/>
      <c r="S84" s="6"/>
      <c r="T84" s="22"/>
      <c r="U84" s="22"/>
      <c r="V84" s="6"/>
      <c r="W84" s="6"/>
      <c r="X84" s="6"/>
      <c r="Y84" s="6"/>
      <c r="Z84" s="6"/>
      <c r="AA84" s="22"/>
    </row>
    <row r="85" spans="1:27" hidden="1">
      <c r="A85" s="190">
        <v>3130</v>
      </c>
      <c r="B85" s="187" t="s">
        <v>23</v>
      </c>
      <c r="C85" s="187">
        <v>22</v>
      </c>
      <c r="D85" s="187" t="s">
        <v>549</v>
      </c>
      <c r="E85" s="187" t="s">
        <v>550</v>
      </c>
      <c r="F85" s="187" t="s">
        <v>412</v>
      </c>
      <c r="G85" s="53"/>
      <c r="H85" s="19"/>
      <c r="I85" s="19"/>
      <c r="J85" s="92">
        <v>1</v>
      </c>
      <c r="K85" s="153">
        <v>1</v>
      </c>
      <c r="L85" s="157">
        <f t="shared" si="4"/>
        <v>0</v>
      </c>
      <c r="M85" s="161">
        <f t="shared" si="5"/>
        <v>0</v>
      </c>
      <c r="N85" s="32"/>
      <c r="O85" s="19"/>
      <c r="P85" s="21"/>
      <c r="Q85" s="5"/>
      <c r="R85" s="6"/>
      <c r="S85" s="6"/>
      <c r="T85" s="22"/>
      <c r="U85" s="22"/>
      <c r="V85" s="6"/>
      <c r="W85" s="6"/>
      <c r="X85" s="6"/>
      <c r="Y85" s="6"/>
      <c r="Z85" s="6"/>
      <c r="AA85" s="22"/>
    </row>
    <row r="86" spans="1:27" hidden="1">
      <c r="A86" s="190">
        <v>3131</v>
      </c>
      <c r="B86" s="187" t="s">
        <v>23</v>
      </c>
      <c r="C86" s="187">
        <v>23</v>
      </c>
      <c r="D86" s="187">
        <v>2</v>
      </c>
      <c r="E86" s="187" t="s">
        <v>513</v>
      </c>
      <c r="F86" s="187" t="s">
        <v>59</v>
      </c>
      <c r="G86" s="53">
        <v>43251</v>
      </c>
      <c r="H86" s="249">
        <v>43250</v>
      </c>
      <c r="I86" s="19"/>
      <c r="J86" s="92">
        <v>1</v>
      </c>
      <c r="K86" s="153">
        <v>1</v>
      </c>
      <c r="L86" s="157">
        <f>SUM(P86:AA86)</f>
        <v>20</v>
      </c>
      <c r="M86" s="161">
        <f>L86/$L$2</f>
        <v>0.90909090909090906</v>
      </c>
      <c r="N86" s="32">
        <v>5</v>
      </c>
      <c r="O86" s="19">
        <v>43251</v>
      </c>
      <c r="P86" s="21"/>
      <c r="Q86" s="5">
        <v>3</v>
      </c>
      <c r="R86" s="6">
        <v>2</v>
      </c>
      <c r="S86" s="6">
        <v>3</v>
      </c>
      <c r="T86" s="22">
        <v>2</v>
      </c>
      <c r="U86" s="22">
        <v>1</v>
      </c>
      <c r="V86" s="6">
        <v>2</v>
      </c>
      <c r="W86" s="6">
        <v>2</v>
      </c>
      <c r="X86" s="6">
        <v>1</v>
      </c>
      <c r="Y86" s="6">
        <v>1</v>
      </c>
      <c r="Z86" s="6">
        <v>1</v>
      </c>
      <c r="AA86" s="22">
        <v>2</v>
      </c>
    </row>
    <row r="87" spans="1:27" hidden="1">
      <c r="A87" s="190">
        <v>3132</v>
      </c>
      <c r="B87" s="187" t="s">
        <v>23</v>
      </c>
      <c r="C87" s="187">
        <v>24</v>
      </c>
      <c r="D87" s="187">
        <v>2</v>
      </c>
      <c r="E87" s="187" t="s">
        <v>514</v>
      </c>
      <c r="F87" s="187" t="s">
        <v>413</v>
      </c>
      <c r="G87" s="53">
        <v>43251</v>
      </c>
      <c r="H87" s="249">
        <v>43250</v>
      </c>
      <c r="I87" s="6"/>
      <c r="J87" s="92">
        <v>1</v>
      </c>
      <c r="K87" s="153">
        <v>1</v>
      </c>
      <c r="L87" s="157">
        <f t="shared" si="4"/>
        <v>18</v>
      </c>
      <c r="M87" s="161">
        <f t="shared" si="5"/>
        <v>0.81818181818181823</v>
      </c>
      <c r="N87" s="32" t="s">
        <v>33</v>
      </c>
      <c r="O87" s="19">
        <v>43251</v>
      </c>
      <c r="P87" s="21"/>
      <c r="Q87" s="5">
        <v>2</v>
      </c>
      <c r="R87" s="6">
        <v>2</v>
      </c>
      <c r="S87" s="6">
        <v>2</v>
      </c>
      <c r="T87" s="22">
        <v>2</v>
      </c>
      <c r="U87" s="22">
        <v>2</v>
      </c>
      <c r="V87" s="6">
        <v>2</v>
      </c>
      <c r="W87" s="6">
        <v>2</v>
      </c>
      <c r="X87" s="6">
        <v>1</v>
      </c>
      <c r="Y87" s="6">
        <v>1</v>
      </c>
      <c r="Z87" s="6">
        <v>1</v>
      </c>
      <c r="AA87" s="22">
        <v>1</v>
      </c>
    </row>
    <row r="88" spans="1:27" hidden="1">
      <c r="A88" s="190">
        <v>3134</v>
      </c>
      <c r="B88" s="187" t="s">
        <v>23</v>
      </c>
      <c r="C88" s="187">
        <v>25</v>
      </c>
      <c r="D88" s="187">
        <v>1</v>
      </c>
      <c r="E88" s="187" t="s">
        <v>503</v>
      </c>
      <c r="F88" s="187" t="s">
        <v>414</v>
      </c>
      <c r="G88" s="53"/>
      <c r="H88" s="19"/>
      <c r="I88" s="6"/>
      <c r="J88" s="92">
        <v>1</v>
      </c>
      <c r="K88" s="153">
        <v>1</v>
      </c>
      <c r="L88" s="157">
        <f t="shared" si="4"/>
        <v>0</v>
      </c>
      <c r="M88" s="161">
        <f t="shared" si="5"/>
        <v>0</v>
      </c>
      <c r="N88" s="32"/>
      <c r="O88" s="19"/>
      <c r="P88" s="21"/>
      <c r="Q88" s="5"/>
      <c r="R88" s="6"/>
      <c r="S88" s="6"/>
      <c r="T88" s="22"/>
      <c r="U88" s="22"/>
      <c r="V88" s="6"/>
      <c r="W88" s="6"/>
      <c r="X88" s="6"/>
      <c r="Y88" s="6"/>
      <c r="Z88" s="6"/>
      <c r="AA88" s="22"/>
    </row>
    <row r="89" spans="1:27" hidden="1">
      <c r="A89" s="190">
        <v>3135</v>
      </c>
      <c r="B89" s="187" t="s">
        <v>23</v>
      </c>
      <c r="C89" s="187">
        <v>26</v>
      </c>
      <c r="D89" s="187">
        <v>2</v>
      </c>
      <c r="E89" s="187" t="s">
        <v>515</v>
      </c>
      <c r="F89" s="187" t="s">
        <v>415</v>
      </c>
      <c r="G89" s="53">
        <v>43251</v>
      </c>
      <c r="H89" s="249">
        <v>43251</v>
      </c>
      <c r="I89" s="6"/>
      <c r="J89" s="92">
        <v>1</v>
      </c>
      <c r="K89" s="153">
        <v>1</v>
      </c>
      <c r="L89" s="157">
        <f t="shared" si="4"/>
        <v>20</v>
      </c>
      <c r="M89" s="161">
        <f t="shared" si="5"/>
        <v>0.90909090909090906</v>
      </c>
      <c r="N89" s="32">
        <v>5</v>
      </c>
      <c r="O89" s="19">
        <v>43251</v>
      </c>
      <c r="P89" s="21"/>
      <c r="Q89" s="5">
        <v>2</v>
      </c>
      <c r="R89" s="6">
        <v>2</v>
      </c>
      <c r="S89" s="6">
        <v>2</v>
      </c>
      <c r="T89" s="22">
        <v>2</v>
      </c>
      <c r="U89" s="22">
        <v>2</v>
      </c>
      <c r="V89" s="6">
        <v>2</v>
      </c>
      <c r="W89" s="6">
        <v>2</v>
      </c>
      <c r="X89" s="6">
        <v>1</v>
      </c>
      <c r="Y89" s="6">
        <v>1</v>
      </c>
      <c r="Z89" s="6">
        <v>2</v>
      </c>
      <c r="AA89" s="22">
        <v>2</v>
      </c>
    </row>
    <row r="90" spans="1:27" hidden="1">
      <c r="A90" s="190">
        <v>3137</v>
      </c>
      <c r="B90" s="187" t="s">
        <v>23</v>
      </c>
      <c r="C90" s="187">
        <v>27</v>
      </c>
      <c r="D90" s="187">
        <v>2</v>
      </c>
      <c r="E90" s="187" t="s">
        <v>516</v>
      </c>
      <c r="F90" s="187" t="s">
        <v>416</v>
      </c>
      <c r="G90" s="53">
        <v>43252</v>
      </c>
      <c r="H90" s="249">
        <v>43252</v>
      </c>
      <c r="I90" s="6"/>
      <c r="J90" s="92">
        <v>1</v>
      </c>
      <c r="K90" s="153">
        <v>1</v>
      </c>
      <c r="L90" s="157">
        <f t="shared" si="4"/>
        <v>15</v>
      </c>
      <c r="M90" s="161">
        <f t="shared" si="5"/>
        <v>0.68181818181818177</v>
      </c>
      <c r="N90" s="32" t="s">
        <v>30</v>
      </c>
      <c r="O90" s="19">
        <v>43252</v>
      </c>
      <c r="P90" s="21">
        <v>-3</v>
      </c>
      <c r="Q90" s="5">
        <v>2</v>
      </c>
      <c r="R90" s="6">
        <v>2</v>
      </c>
      <c r="S90" s="6">
        <v>2</v>
      </c>
      <c r="T90" s="22">
        <v>2</v>
      </c>
      <c r="U90" s="22">
        <v>2</v>
      </c>
      <c r="V90" s="6">
        <v>2</v>
      </c>
      <c r="W90" s="6">
        <v>2</v>
      </c>
      <c r="X90" s="6">
        <v>1</v>
      </c>
      <c r="Y90" s="6">
        <v>1</v>
      </c>
      <c r="Z90" s="6">
        <v>1</v>
      </c>
      <c r="AA90" s="22">
        <v>1</v>
      </c>
    </row>
    <row r="91" spans="1:27" hidden="1">
      <c r="A91" s="190">
        <v>3138</v>
      </c>
      <c r="B91" s="187" t="s">
        <v>23</v>
      </c>
      <c r="C91" s="187">
        <v>28</v>
      </c>
      <c r="D91" s="187">
        <v>1</v>
      </c>
      <c r="E91" s="187" t="s">
        <v>504</v>
      </c>
      <c r="F91" s="187" t="s">
        <v>417</v>
      </c>
      <c r="G91" s="53">
        <v>43251</v>
      </c>
      <c r="H91" s="249">
        <v>43250</v>
      </c>
      <c r="I91" s="6"/>
      <c r="J91" s="92">
        <v>1</v>
      </c>
      <c r="K91" s="153">
        <v>1</v>
      </c>
      <c r="L91" s="157">
        <f t="shared" si="4"/>
        <v>20</v>
      </c>
      <c r="M91" s="161">
        <f t="shared" si="5"/>
        <v>0.90909090909090906</v>
      </c>
      <c r="N91" s="32">
        <v>5</v>
      </c>
      <c r="O91" s="19">
        <v>43251</v>
      </c>
      <c r="P91" s="21"/>
      <c r="Q91" s="5">
        <v>3</v>
      </c>
      <c r="R91" s="6">
        <v>2</v>
      </c>
      <c r="S91" s="6">
        <v>2</v>
      </c>
      <c r="T91" s="22">
        <v>2</v>
      </c>
      <c r="U91" s="22">
        <v>2</v>
      </c>
      <c r="V91" s="6">
        <v>2</v>
      </c>
      <c r="W91" s="6">
        <v>2</v>
      </c>
      <c r="X91" s="6">
        <v>1</v>
      </c>
      <c r="Y91" s="6">
        <v>1</v>
      </c>
      <c r="Z91" s="6">
        <v>1</v>
      </c>
      <c r="AA91" s="22">
        <v>2</v>
      </c>
    </row>
    <row r="92" spans="1:27" hidden="1">
      <c r="A92" s="190">
        <v>3139</v>
      </c>
      <c r="B92" s="187" t="s">
        <v>23</v>
      </c>
      <c r="C92" s="187">
        <v>29</v>
      </c>
      <c r="D92" s="187">
        <v>1</v>
      </c>
      <c r="E92" s="187" t="s">
        <v>14</v>
      </c>
      <c r="F92" s="187" t="s">
        <v>418</v>
      </c>
      <c r="G92" s="53">
        <v>43252</v>
      </c>
      <c r="H92" s="249">
        <v>43252</v>
      </c>
      <c r="I92" s="6"/>
      <c r="J92" s="92">
        <v>1</v>
      </c>
      <c r="K92" s="153">
        <v>1</v>
      </c>
      <c r="L92" s="157">
        <f t="shared" si="4"/>
        <v>15</v>
      </c>
      <c r="M92" s="161">
        <f t="shared" si="5"/>
        <v>0.68181818181818177</v>
      </c>
      <c r="N92" s="32">
        <v>4</v>
      </c>
      <c r="O92" s="19">
        <v>43253</v>
      </c>
      <c r="P92" s="21">
        <v>-3</v>
      </c>
      <c r="Q92" s="5">
        <v>2</v>
      </c>
      <c r="R92" s="6">
        <v>2</v>
      </c>
      <c r="S92" s="6">
        <v>2</v>
      </c>
      <c r="T92" s="22">
        <v>2</v>
      </c>
      <c r="U92" s="22">
        <v>2</v>
      </c>
      <c r="V92" s="6">
        <v>2</v>
      </c>
      <c r="W92" s="6">
        <v>2</v>
      </c>
      <c r="X92" s="6">
        <v>1</v>
      </c>
      <c r="Y92" s="6">
        <v>1</v>
      </c>
      <c r="Z92" s="6">
        <v>1</v>
      </c>
      <c r="AA92" s="22">
        <v>1</v>
      </c>
    </row>
    <row r="93" spans="1:27" hidden="1">
      <c r="A93" s="190">
        <v>3140</v>
      </c>
      <c r="B93" s="187" t="s">
        <v>23</v>
      </c>
      <c r="C93" s="187">
        <v>30</v>
      </c>
      <c r="D93" s="187">
        <v>2</v>
      </c>
      <c r="E93" s="187" t="s">
        <v>473</v>
      </c>
      <c r="F93" s="187" t="s">
        <v>419</v>
      </c>
      <c r="G93" s="53">
        <v>43251</v>
      </c>
      <c r="H93" s="249">
        <v>43250</v>
      </c>
      <c r="I93" s="19"/>
      <c r="J93" s="92">
        <v>1</v>
      </c>
      <c r="K93" s="153">
        <v>1</v>
      </c>
      <c r="L93" s="157">
        <f t="shared" si="4"/>
        <v>20</v>
      </c>
      <c r="M93" s="161">
        <f t="shared" si="5"/>
        <v>0.90909090909090906</v>
      </c>
      <c r="N93" s="32">
        <v>5</v>
      </c>
      <c r="O93" s="19">
        <v>43251</v>
      </c>
      <c r="P93" s="21"/>
      <c r="Q93" s="5">
        <v>3</v>
      </c>
      <c r="R93" s="6">
        <v>2</v>
      </c>
      <c r="S93" s="6">
        <v>3</v>
      </c>
      <c r="T93" s="22">
        <v>2</v>
      </c>
      <c r="U93" s="22">
        <v>1</v>
      </c>
      <c r="V93" s="6">
        <v>2</v>
      </c>
      <c r="W93" s="6">
        <v>2</v>
      </c>
      <c r="X93" s="6">
        <v>1</v>
      </c>
      <c r="Y93" s="6">
        <v>1</v>
      </c>
      <c r="Z93" s="6">
        <v>1</v>
      </c>
      <c r="AA93" s="22">
        <v>2</v>
      </c>
    </row>
    <row r="94" spans="1:27" ht="15" hidden="1" thickBot="1">
      <c r="A94" s="222">
        <v>3191</v>
      </c>
      <c r="B94" s="223" t="s">
        <v>23</v>
      </c>
      <c r="C94" s="223">
        <v>31</v>
      </c>
      <c r="D94" s="223">
        <v>1</v>
      </c>
      <c r="E94" s="223" t="s">
        <v>505</v>
      </c>
      <c r="F94" s="223" t="s">
        <v>451</v>
      </c>
      <c r="G94" s="232">
        <v>43251</v>
      </c>
      <c r="H94" s="250">
        <v>43250</v>
      </c>
      <c r="I94" s="208"/>
      <c r="J94" s="233">
        <v>1</v>
      </c>
      <c r="K94" s="234">
        <v>1</v>
      </c>
      <c r="L94" s="235">
        <f>SUM(P94:AA94)</f>
        <v>20</v>
      </c>
      <c r="M94" s="236">
        <f>L94/$L$2</f>
        <v>0.90909090909090906</v>
      </c>
      <c r="N94" s="217">
        <v>5</v>
      </c>
      <c r="O94" s="213">
        <v>43251</v>
      </c>
      <c r="P94" s="237"/>
      <c r="Q94" s="238">
        <v>3</v>
      </c>
      <c r="R94" s="208">
        <v>2</v>
      </c>
      <c r="S94" s="208">
        <v>2</v>
      </c>
      <c r="T94" s="218">
        <v>2</v>
      </c>
      <c r="U94" s="218">
        <v>2</v>
      </c>
      <c r="V94" s="208">
        <v>2</v>
      </c>
      <c r="W94" s="208">
        <v>2</v>
      </c>
      <c r="X94" s="208">
        <v>1</v>
      </c>
      <c r="Y94" s="208">
        <v>1</v>
      </c>
      <c r="Z94" s="208">
        <v>1</v>
      </c>
      <c r="AA94" s="218">
        <v>2</v>
      </c>
    </row>
    <row r="95" spans="1:27" ht="15" hidden="1" thickTop="1">
      <c r="A95" s="220">
        <v>3141</v>
      </c>
      <c r="B95" s="221" t="s">
        <v>24</v>
      </c>
      <c r="C95" s="221">
        <v>1</v>
      </c>
      <c r="D95" s="221">
        <v>1</v>
      </c>
      <c r="E95" s="221" t="s">
        <v>518</v>
      </c>
      <c r="F95" s="221" t="s">
        <v>361</v>
      </c>
      <c r="G95" s="239">
        <v>43251</v>
      </c>
      <c r="H95" s="251">
        <v>43250</v>
      </c>
      <c r="I95" s="211"/>
      <c r="J95" s="215">
        <v>1</v>
      </c>
      <c r="K95" s="240">
        <v>1</v>
      </c>
      <c r="L95" s="241">
        <f t="shared" si="4"/>
        <v>16</v>
      </c>
      <c r="M95" s="242">
        <f t="shared" si="5"/>
        <v>0.72727272727272729</v>
      </c>
      <c r="N95" s="248">
        <v>4</v>
      </c>
      <c r="O95" s="212">
        <v>43251</v>
      </c>
      <c r="P95" s="243">
        <v>-1</v>
      </c>
      <c r="Q95" s="244">
        <v>2</v>
      </c>
      <c r="R95" s="211">
        <v>2</v>
      </c>
      <c r="S95" s="211">
        <v>2</v>
      </c>
      <c r="T95" s="219">
        <v>2</v>
      </c>
      <c r="U95" s="219">
        <v>1</v>
      </c>
      <c r="V95" s="211">
        <v>2</v>
      </c>
      <c r="W95" s="211">
        <v>2</v>
      </c>
      <c r="X95" s="211">
        <v>1</v>
      </c>
      <c r="Y95" s="211">
        <v>0</v>
      </c>
      <c r="Z95" s="211">
        <v>1</v>
      </c>
      <c r="AA95" s="219">
        <v>2</v>
      </c>
    </row>
    <row r="96" spans="1:27" hidden="1">
      <c r="A96" s="190">
        <v>3142</v>
      </c>
      <c r="B96" s="187" t="s">
        <v>24</v>
      </c>
      <c r="C96" s="187">
        <v>2</v>
      </c>
      <c r="D96" s="187">
        <v>2</v>
      </c>
      <c r="E96" s="187" t="s">
        <v>536</v>
      </c>
      <c r="F96" s="187" t="s">
        <v>420</v>
      </c>
      <c r="G96" s="133">
        <v>43214</v>
      </c>
      <c r="H96" s="249">
        <v>43214</v>
      </c>
      <c r="I96" s="6"/>
      <c r="J96" s="92">
        <v>1</v>
      </c>
      <c r="K96" s="153">
        <v>1</v>
      </c>
      <c r="L96" s="157">
        <f t="shared" si="4"/>
        <v>11</v>
      </c>
      <c r="M96" s="161">
        <f t="shared" si="5"/>
        <v>0.5</v>
      </c>
      <c r="N96" s="32">
        <v>3</v>
      </c>
      <c r="O96" s="19"/>
      <c r="P96" s="21"/>
      <c r="Q96" s="5">
        <v>2</v>
      </c>
      <c r="R96" s="6">
        <v>2</v>
      </c>
      <c r="S96" s="6">
        <v>3</v>
      </c>
      <c r="T96" s="22">
        <v>2</v>
      </c>
      <c r="U96" s="22">
        <v>2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22">
        <v>0</v>
      </c>
    </row>
    <row r="97" spans="1:27" hidden="1">
      <c r="A97" s="190">
        <v>3115</v>
      </c>
      <c r="B97" s="187" t="s">
        <v>24</v>
      </c>
      <c r="C97" s="187">
        <v>3</v>
      </c>
      <c r="D97" s="187">
        <v>1</v>
      </c>
      <c r="E97" s="187" t="s">
        <v>517</v>
      </c>
      <c r="F97" s="187" t="s">
        <v>395</v>
      </c>
      <c r="G97" s="5"/>
      <c r="H97" s="19"/>
      <c r="I97" s="6"/>
      <c r="J97" s="92">
        <v>1</v>
      </c>
      <c r="K97" s="153">
        <v>1</v>
      </c>
      <c r="L97" s="157">
        <f t="shared" si="4"/>
        <v>0</v>
      </c>
      <c r="M97" s="161">
        <f t="shared" si="5"/>
        <v>0</v>
      </c>
      <c r="N97" s="32"/>
      <c r="O97" s="19"/>
      <c r="P97" s="21"/>
      <c r="Q97" s="5"/>
      <c r="R97" s="6"/>
      <c r="S97" s="6"/>
      <c r="T97" s="22"/>
      <c r="U97" s="22"/>
      <c r="V97" s="6"/>
      <c r="W97" s="6"/>
      <c r="X97" s="6"/>
      <c r="Y97" s="6"/>
      <c r="Z97" s="6"/>
      <c r="AA97" s="22"/>
    </row>
    <row r="98" spans="1:27" hidden="1">
      <c r="A98" s="190">
        <v>3143</v>
      </c>
      <c r="B98" s="187" t="s">
        <v>24</v>
      </c>
      <c r="C98" s="187">
        <v>4</v>
      </c>
      <c r="D98" s="187">
        <v>2</v>
      </c>
      <c r="E98" s="187" t="s">
        <v>65</v>
      </c>
      <c r="F98" s="187" t="s">
        <v>421</v>
      </c>
      <c r="G98" s="133">
        <v>43214</v>
      </c>
      <c r="H98" s="249">
        <v>43214</v>
      </c>
      <c r="I98" s="19"/>
      <c r="J98" s="92">
        <v>1</v>
      </c>
      <c r="K98" s="153">
        <v>1</v>
      </c>
      <c r="L98" s="157">
        <f t="shared" si="4"/>
        <v>11</v>
      </c>
      <c r="M98" s="161">
        <f t="shared" si="5"/>
        <v>0.5</v>
      </c>
      <c r="N98" s="32">
        <v>3</v>
      </c>
      <c r="O98" s="19"/>
      <c r="P98" s="21"/>
      <c r="Q98" s="5">
        <v>2</v>
      </c>
      <c r="R98" s="6">
        <v>2</v>
      </c>
      <c r="S98" s="6">
        <v>3</v>
      </c>
      <c r="T98" s="22">
        <v>2</v>
      </c>
      <c r="U98" s="22">
        <v>2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22">
        <v>0</v>
      </c>
    </row>
    <row r="99" spans="1:27" hidden="1">
      <c r="A99" s="190">
        <v>3145</v>
      </c>
      <c r="B99" s="187" t="s">
        <v>24</v>
      </c>
      <c r="C99" s="187">
        <v>5</v>
      </c>
      <c r="D99" s="187">
        <v>1</v>
      </c>
      <c r="E99" s="187" t="s">
        <v>9</v>
      </c>
      <c r="F99" s="187" t="s">
        <v>85</v>
      </c>
      <c r="G99" s="53">
        <v>43252</v>
      </c>
      <c r="H99" s="249">
        <v>43252</v>
      </c>
      <c r="I99" s="19"/>
      <c r="J99" s="92">
        <v>1</v>
      </c>
      <c r="K99" s="153">
        <v>1</v>
      </c>
      <c r="L99" s="157">
        <f t="shared" si="4"/>
        <v>10</v>
      </c>
      <c r="M99" s="161">
        <f t="shared" si="5"/>
        <v>0.45454545454545453</v>
      </c>
      <c r="N99" s="32" t="s">
        <v>31</v>
      </c>
      <c r="O99" s="19">
        <v>43253</v>
      </c>
      <c r="P99" s="21">
        <v>-3</v>
      </c>
      <c r="Q99" s="5">
        <v>2</v>
      </c>
      <c r="R99" s="6">
        <v>2</v>
      </c>
      <c r="S99" s="6">
        <v>2</v>
      </c>
      <c r="T99" s="22">
        <v>0</v>
      </c>
      <c r="U99" s="22">
        <v>0</v>
      </c>
      <c r="V99" s="6">
        <v>2</v>
      </c>
      <c r="W99" s="6">
        <v>2</v>
      </c>
      <c r="X99" s="6">
        <v>0</v>
      </c>
      <c r="Y99" s="6">
        <v>0</v>
      </c>
      <c r="Z99" s="6">
        <v>1</v>
      </c>
      <c r="AA99" s="22">
        <v>2</v>
      </c>
    </row>
    <row r="100" spans="1:27" hidden="1">
      <c r="A100" s="190">
        <v>3183</v>
      </c>
      <c r="B100" s="187" t="s">
        <v>24</v>
      </c>
      <c r="C100" s="187">
        <v>6</v>
      </c>
      <c r="D100" s="187">
        <v>1</v>
      </c>
      <c r="E100" s="187" t="s">
        <v>519</v>
      </c>
      <c r="F100" s="187" t="s">
        <v>422</v>
      </c>
      <c r="G100" s="53">
        <v>43252</v>
      </c>
      <c r="H100" s="249">
        <v>43256</v>
      </c>
      <c r="I100" s="6"/>
      <c r="J100" s="92">
        <v>1</v>
      </c>
      <c r="K100" s="153">
        <v>1</v>
      </c>
      <c r="L100" s="157">
        <f t="shared" si="4"/>
        <v>17</v>
      </c>
      <c r="M100" s="161">
        <f t="shared" si="5"/>
        <v>0.77272727272727271</v>
      </c>
      <c r="N100" s="32" t="s">
        <v>34</v>
      </c>
      <c r="O100" s="19"/>
      <c r="P100" s="21">
        <v>-2</v>
      </c>
      <c r="Q100" s="5">
        <v>3</v>
      </c>
      <c r="R100" s="6">
        <v>2</v>
      </c>
      <c r="S100" s="6">
        <v>3</v>
      </c>
      <c r="T100" s="22">
        <v>2</v>
      </c>
      <c r="U100" s="22">
        <v>0</v>
      </c>
      <c r="V100" s="6">
        <v>2</v>
      </c>
      <c r="W100" s="6">
        <v>2</v>
      </c>
      <c r="X100" s="6">
        <v>1</v>
      </c>
      <c r="Y100" s="6">
        <v>1</v>
      </c>
      <c r="Z100" s="6">
        <v>1</v>
      </c>
      <c r="AA100" s="22">
        <v>2</v>
      </c>
    </row>
    <row r="101" spans="1:27" hidden="1">
      <c r="A101" s="190">
        <v>3144</v>
      </c>
      <c r="B101" s="187" t="s">
        <v>24</v>
      </c>
      <c r="C101" s="187">
        <v>7</v>
      </c>
      <c r="D101" s="187">
        <v>1</v>
      </c>
      <c r="E101" s="187" t="s">
        <v>520</v>
      </c>
      <c r="F101" s="187" t="s">
        <v>423</v>
      </c>
      <c r="G101" s="5"/>
      <c r="H101" s="19"/>
      <c r="I101" s="19"/>
      <c r="J101" s="92">
        <v>1</v>
      </c>
      <c r="K101" s="153">
        <v>1</v>
      </c>
      <c r="L101" s="157">
        <f t="shared" si="4"/>
        <v>0</v>
      </c>
      <c r="M101" s="161">
        <f t="shared" si="5"/>
        <v>0</v>
      </c>
      <c r="N101" s="32"/>
      <c r="O101" s="19"/>
      <c r="P101" s="21"/>
      <c r="Q101" s="5"/>
      <c r="R101" s="6"/>
      <c r="S101" s="6"/>
      <c r="T101" s="22"/>
      <c r="U101" s="22"/>
      <c r="V101" s="6"/>
      <c r="W101" s="6"/>
      <c r="X101" s="6"/>
      <c r="Y101" s="6"/>
      <c r="Z101" s="6"/>
      <c r="AA101" s="22"/>
    </row>
    <row r="102" spans="1:27" hidden="1">
      <c r="A102" s="190">
        <v>3146</v>
      </c>
      <c r="B102" s="187" t="s">
        <v>24</v>
      </c>
      <c r="C102" s="187">
        <v>8</v>
      </c>
      <c r="D102" s="187">
        <v>1</v>
      </c>
      <c r="E102" s="187" t="s">
        <v>521</v>
      </c>
      <c r="F102" s="187" t="s">
        <v>424</v>
      </c>
      <c r="G102" s="53">
        <v>43251</v>
      </c>
      <c r="H102" s="249">
        <v>43249</v>
      </c>
      <c r="I102" s="19"/>
      <c r="J102" s="92">
        <v>1</v>
      </c>
      <c r="K102" s="153">
        <v>1</v>
      </c>
      <c r="L102" s="157">
        <f t="shared" ref="L102:L133" si="6">SUM(P102:AA102)</f>
        <v>16</v>
      </c>
      <c r="M102" s="161">
        <f t="shared" ref="M102:M133" si="7">L102/$L$2</f>
        <v>0.72727272727272729</v>
      </c>
      <c r="N102" s="247">
        <v>4</v>
      </c>
      <c r="O102" s="19">
        <v>43251</v>
      </c>
      <c r="P102" s="21"/>
      <c r="Q102" s="5">
        <v>2</v>
      </c>
      <c r="R102" s="6">
        <v>2</v>
      </c>
      <c r="S102" s="6">
        <v>2</v>
      </c>
      <c r="T102" s="22">
        <v>2</v>
      </c>
      <c r="U102" s="22">
        <v>1</v>
      </c>
      <c r="V102" s="6">
        <v>2</v>
      </c>
      <c r="W102" s="6">
        <v>2</v>
      </c>
      <c r="X102" s="6">
        <v>0</v>
      </c>
      <c r="Y102" s="6">
        <v>0</v>
      </c>
      <c r="Z102" s="6">
        <v>1</v>
      </c>
      <c r="AA102" s="22">
        <v>2</v>
      </c>
    </row>
    <row r="103" spans="1:27" hidden="1">
      <c r="A103" s="190">
        <v>3147</v>
      </c>
      <c r="B103" s="187" t="s">
        <v>24</v>
      </c>
      <c r="C103" s="187">
        <v>9</v>
      </c>
      <c r="D103" s="187">
        <v>2</v>
      </c>
      <c r="E103" s="187" t="s">
        <v>190</v>
      </c>
      <c r="F103" s="187" t="s">
        <v>425</v>
      </c>
      <c r="G103" s="133">
        <v>43214</v>
      </c>
      <c r="H103" s="249">
        <v>43214</v>
      </c>
      <c r="I103" s="6"/>
      <c r="J103" s="92">
        <v>1</v>
      </c>
      <c r="K103" s="153">
        <v>1</v>
      </c>
      <c r="L103" s="157">
        <f t="shared" si="6"/>
        <v>12</v>
      </c>
      <c r="M103" s="161">
        <f t="shared" si="7"/>
        <v>0.54545454545454541</v>
      </c>
      <c r="N103" s="32" t="s">
        <v>32</v>
      </c>
      <c r="O103" s="133"/>
      <c r="P103" s="21"/>
      <c r="Q103" s="5">
        <v>2</v>
      </c>
      <c r="R103" s="6">
        <v>2</v>
      </c>
      <c r="S103" s="6">
        <v>2</v>
      </c>
      <c r="T103" s="22">
        <v>2</v>
      </c>
      <c r="U103" s="22">
        <v>2</v>
      </c>
      <c r="V103" s="6">
        <v>2</v>
      </c>
      <c r="W103" s="6">
        <v>0</v>
      </c>
      <c r="X103" s="6">
        <v>0</v>
      </c>
      <c r="Y103" s="6">
        <v>0</v>
      </c>
      <c r="Z103" s="6">
        <v>0</v>
      </c>
      <c r="AA103" s="22">
        <v>0</v>
      </c>
    </row>
    <row r="104" spans="1:27" hidden="1">
      <c r="A104" s="190">
        <v>3148</v>
      </c>
      <c r="B104" s="187" t="s">
        <v>24</v>
      </c>
      <c r="C104" s="187">
        <v>10</v>
      </c>
      <c r="D104" s="187">
        <v>1</v>
      </c>
      <c r="E104" s="187" t="s">
        <v>497</v>
      </c>
      <c r="F104" s="187" t="s">
        <v>426</v>
      </c>
      <c r="G104" s="53">
        <v>43252</v>
      </c>
      <c r="H104" s="249">
        <v>43252</v>
      </c>
      <c r="I104" s="6"/>
      <c r="J104" s="92">
        <v>1</v>
      </c>
      <c r="K104" s="153">
        <v>1</v>
      </c>
      <c r="L104" s="157">
        <f t="shared" si="6"/>
        <v>17</v>
      </c>
      <c r="M104" s="161">
        <f t="shared" si="7"/>
        <v>0.77272727272727271</v>
      </c>
      <c r="N104" s="32" t="s">
        <v>34</v>
      </c>
      <c r="O104" s="19">
        <v>43253</v>
      </c>
      <c r="P104" s="21">
        <v>-2</v>
      </c>
      <c r="Q104" s="5">
        <v>3</v>
      </c>
      <c r="R104" s="6">
        <v>2</v>
      </c>
      <c r="S104" s="6">
        <v>3</v>
      </c>
      <c r="T104" s="22">
        <v>2</v>
      </c>
      <c r="U104" s="22">
        <v>0</v>
      </c>
      <c r="V104" s="6">
        <v>2</v>
      </c>
      <c r="W104" s="6">
        <v>2</v>
      </c>
      <c r="X104" s="6">
        <v>1</v>
      </c>
      <c r="Y104" s="6">
        <v>1</v>
      </c>
      <c r="Z104" s="6">
        <v>1</v>
      </c>
      <c r="AA104" s="22">
        <v>2</v>
      </c>
    </row>
    <row r="105" spans="1:27" hidden="1">
      <c r="A105" s="190">
        <v>3149</v>
      </c>
      <c r="B105" s="187" t="s">
        <v>24</v>
      </c>
      <c r="C105" s="187">
        <v>11</v>
      </c>
      <c r="D105" s="187">
        <v>1</v>
      </c>
      <c r="E105" s="187" t="s">
        <v>522</v>
      </c>
      <c r="F105" s="187" t="s">
        <v>427</v>
      </c>
      <c r="G105" s="5"/>
      <c r="H105" s="19"/>
      <c r="I105" s="19"/>
      <c r="J105" s="92">
        <v>1</v>
      </c>
      <c r="K105" s="153">
        <v>1</v>
      </c>
      <c r="L105" s="157">
        <f t="shared" si="6"/>
        <v>0</v>
      </c>
      <c r="M105" s="161">
        <f t="shared" si="7"/>
        <v>0</v>
      </c>
      <c r="N105" s="32"/>
      <c r="O105" s="19"/>
      <c r="P105" s="21"/>
      <c r="Q105" s="5"/>
      <c r="R105" s="6"/>
      <c r="S105" s="6"/>
      <c r="T105" s="22"/>
      <c r="U105" s="22"/>
      <c r="V105" s="6"/>
      <c r="W105" s="6"/>
      <c r="X105" s="6"/>
      <c r="Y105" s="6"/>
      <c r="Z105" s="6"/>
      <c r="AA105" s="22"/>
    </row>
    <row r="106" spans="1:27" hidden="1">
      <c r="A106" s="190">
        <v>3175</v>
      </c>
      <c r="B106" s="187" t="s">
        <v>24</v>
      </c>
      <c r="C106" s="187">
        <v>12</v>
      </c>
      <c r="D106" s="187" t="s">
        <v>450</v>
      </c>
      <c r="E106" s="187" t="s">
        <v>547</v>
      </c>
      <c r="F106" s="187" t="s">
        <v>140</v>
      </c>
      <c r="G106" s="5"/>
      <c r="H106" s="19"/>
      <c r="I106" s="6"/>
      <c r="J106" s="92">
        <v>1</v>
      </c>
      <c r="K106" s="153">
        <v>1</v>
      </c>
      <c r="L106" s="157">
        <f t="shared" si="6"/>
        <v>0</v>
      </c>
      <c r="M106" s="161">
        <f t="shared" si="7"/>
        <v>0</v>
      </c>
      <c r="N106" s="32"/>
      <c r="O106" s="19"/>
      <c r="P106" s="21"/>
      <c r="Q106" s="5"/>
      <c r="R106" s="6"/>
      <c r="S106" s="6"/>
      <c r="T106" s="22"/>
      <c r="U106" s="22"/>
      <c r="V106" s="6"/>
      <c r="W106" s="6"/>
      <c r="X106" s="6"/>
      <c r="Y106" s="6"/>
      <c r="Z106" s="6"/>
      <c r="AA106" s="22"/>
    </row>
    <row r="107" spans="1:27" hidden="1">
      <c r="A107" s="190">
        <v>3150</v>
      </c>
      <c r="B107" s="187" t="s">
        <v>24</v>
      </c>
      <c r="C107" s="187">
        <v>13</v>
      </c>
      <c r="D107" s="187">
        <v>2</v>
      </c>
      <c r="E107" s="187" t="s">
        <v>537</v>
      </c>
      <c r="F107" s="187" t="s">
        <v>428</v>
      </c>
      <c r="G107" s="133">
        <v>43214</v>
      </c>
      <c r="H107" s="249">
        <v>43214</v>
      </c>
      <c r="I107" s="6"/>
      <c r="J107" s="92">
        <v>1</v>
      </c>
      <c r="K107" s="153">
        <v>1</v>
      </c>
      <c r="L107" s="157">
        <f t="shared" si="6"/>
        <v>15</v>
      </c>
      <c r="M107" s="161">
        <f t="shared" si="7"/>
        <v>0.68181818181818177</v>
      </c>
      <c r="N107" s="32" t="s">
        <v>34</v>
      </c>
      <c r="O107" s="19"/>
      <c r="P107" s="21"/>
      <c r="Q107" s="5">
        <v>2</v>
      </c>
      <c r="R107" s="6">
        <v>2</v>
      </c>
      <c r="S107" s="6">
        <v>2</v>
      </c>
      <c r="T107" s="22">
        <v>2</v>
      </c>
      <c r="U107" s="22">
        <v>2</v>
      </c>
      <c r="V107" s="6">
        <v>2</v>
      </c>
      <c r="W107" s="6">
        <v>2</v>
      </c>
      <c r="X107" s="6">
        <v>0</v>
      </c>
      <c r="Y107" s="6">
        <v>0</v>
      </c>
      <c r="Z107" s="6">
        <v>1</v>
      </c>
      <c r="AA107" s="22">
        <v>0</v>
      </c>
    </row>
    <row r="108" spans="1:27" hidden="1">
      <c r="A108" s="190">
        <v>3151</v>
      </c>
      <c r="B108" s="187" t="s">
        <v>24</v>
      </c>
      <c r="C108" s="187">
        <v>14</v>
      </c>
      <c r="D108" s="187">
        <v>2</v>
      </c>
      <c r="E108" s="187" t="s">
        <v>538</v>
      </c>
      <c r="F108" s="187" t="s">
        <v>429</v>
      </c>
      <c r="G108" s="133">
        <v>43214</v>
      </c>
      <c r="H108" s="249">
        <v>43214</v>
      </c>
      <c r="I108" s="6"/>
      <c r="J108" s="92">
        <v>1</v>
      </c>
      <c r="K108" s="153">
        <v>1</v>
      </c>
      <c r="L108" s="157">
        <f t="shared" si="6"/>
        <v>10</v>
      </c>
      <c r="M108" s="161">
        <f t="shared" si="7"/>
        <v>0.45454545454545453</v>
      </c>
      <c r="N108" s="32" t="s">
        <v>31</v>
      </c>
      <c r="O108" s="19"/>
      <c r="P108" s="21"/>
      <c r="Q108" s="5">
        <v>3</v>
      </c>
      <c r="R108" s="6">
        <v>0</v>
      </c>
      <c r="S108" s="6">
        <v>3</v>
      </c>
      <c r="T108" s="22">
        <v>0</v>
      </c>
      <c r="U108" s="22">
        <v>2</v>
      </c>
      <c r="V108" s="6">
        <v>2</v>
      </c>
      <c r="W108" s="6">
        <v>0</v>
      </c>
      <c r="X108" s="6">
        <v>0</v>
      </c>
      <c r="Y108" s="6">
        <v>0</v>
      </c>
      <c r="Z108" s="6">
        <v>0</v>
      </c>
      <c r="AA108" s="22">
        <v>0</v>
      </c>
    </row>
    <row r="109" spans="1:27" hidden="1">
      <c r="A109" s="190">
        <v>3152</v>
      </c>
      <c r="B109" s="187" t="s">
        <v>24</v>
      </c>
      <c r="C109" s="187">
        <v>15</v>
      </c>
      <c r="D109" s="187" t="s">
        <v>450</v>
      </c>
      <c r="E109" s="187" t="s">
        <v>548</v>
      </c>
      <c r="F109" s="187" t="s">
        <v>430</v>
      </c>
      <c r="G109" s="5"/>
      <c r="H109" s="19"/>
      <c r="I109" s="19"/>
      <c r="J109" s="92">
        <v>1</v>
      </c>
      <c r="K109" s="153">
        <v>1</v>
      </c>
      <c r="L109" s="157">
        <f t="shared" si="6"/>
        <v>0</v>
      </c>
      <c r="M109" s="161">
        <f t="shared" si="7"/>
        <v>0</v>
      </c>
      <c r="N109" s="32"/>
      <c r="O109" s="19"/>
      <c r="P109" s="21"/>
      <c r="Q109" s="5"/>
      <c r="R109" s="6"/>
      <c r="S109" s="6"/>
      <c r="T109" s="22"/>
      <c r="U109" s="22"/>
      <c r="V109" s="6"/>
      <c r="W109" s="6"/>
      <c r="X109" s="6"/>
      <c r="Y109" s="6"/>
      <c r="Z109" s="6"/>
      <c r="AA109" s="22"/>
    </row>
    <row r="110" spans="1:27" hidden="1">
      <c r="A110" s="190">
        <v>3153</v>
      </c>
      <c r="B110" s="187" t="s">
        <v>24</v>
      </c>
      <c r="C110" s="187">
        <v>16</v>
      </c>
      <c r="D110" s="187">
        <v>1</v>
      </c>
      <c r="E110" s="187" t="s">
        <v>523</v>
      </c>
      <c r="F110" s="187" t="s">
        <v>431</v>
      </c>
      <c r="G110" s="53">
        <v>43251</v>
      </c>
      <c r="H110" s="249">
        <v>43250</v>
      </c>
      <c r="I110" s="6" t="s">
        <v>563</v>
      </c>
      <c r="J110" s="92">
        <v>1</v>
      </c>
      <c r="K110" s="153">
        <v>1</v>
      </c>
      <c r="L110" s="157">
        <f t="shared" si="6"/>
        <v>0</v>
      </c>
      <c r="M110" s="161">
        <f t="shared" si="7"/>
        <v>0</v>
      </c>
      <c r="N110" s="32"/>
      <c r="O110" s="19">
        <v>43251</v>
      </c>
      <c r="P110" s="21"/>
      <c r="Q110" s="5"/>
      <c r="R110" s="6"/>
      <c r="S110" s="6"/>
      <c r="T110" s="22"/>
      <c r="U110" s="22"/>
      <c r="V110" s="6"/>
      <c r="W110" s="6"/>
      <c r="X110" s="6"/>
      <c r="Y110" s="6"/>
      <c r="Z110" s="6"/>
      <c r="AA110" s="22"/>
    </row>
    <row r="111" spans="1:27" hidden="1">
      <c r="A111" s="190">
        <v>3154</v>
      </c>
      <c r="B111" s="187" t="s">
        <v>24</v>
      </c>
      <c r="C111" s="187">
        <v>17</v>
      </c>
      <c r="D111" s="187">
        <v>1</v>
      </c>
      <c r="E111" s="187" t="s">
        <v>524</v>
      </c>
      <c r="F111" s="187" t="s">
        <v>432</v>
      </c>
      <c r="G111" s="53"/>
      <c r="H111" s="19"/>
      <c r="I111" s="6"/>
      <c r="J111" s="92">
        <v>1</v>
      </c>
      <c r="K111" s="153">
        <v>1</v>
      </c>
      <c r="L111" s="157">
        <f t="shared" si="6"/>
        <v>0</v>
      </c>
      <c r="M111" s="161">
        <f t="shared" si="7"/>
        <v>0</v>
      </c>
      <c r="N111" s="32"/>
      <c r="O111" s="19"/>
      <c r="P111" s="21"/>
      <c r="Q111" s="5"/>
      <c r="R111" s="6"/>
      <c r="S111" s="6"/>
      <c r="T111" s="22"/>
      <c r="U111" s="22"/>
      <c r="V111" s="6"/>
      <c r="W111" s="6"/>
      <c r="X111" s="6"/>
      <c r="Y111" s="6"/>
      <c r="Z111" s="6"/>
      <c r="AA111" s="22"/>
    </row>
    <row r="112" spans="1:27" hidden="1">
      <c r="A112" s="190">
        <v>3192</v>
      </c>
      <c r="B112" s="187" t="s">
        <v>24</v>
      </c>
      <c r="C112" s="187">
        <v>18</v>
      </c>
      <c r="D112" s="187">
        <v>1</v>
      </c>
      <c r="E112" s="187" t="s">
        <v>525</v>
      </c>
      <c r="F112" s="187" t="s">
        <v>526</v>
      </c>
      <c r="G112" s="30"/>
      <c r="H112" s="30"/>
      <c r="I112" s="30"/>
      <c r="J112" s="92">
        <v>1</v>
      </c>
      <c r="K112" s="153">
        <v>1</v>
      </c>
      <c r="L112" s="157">
        <f t="shared" si="6"/>
        <v>0</v>
      </c>
      <c r="M112" s="161">
        <f t="shared" si="7"/>
        <v>0</v>
      </c>
      <c r="N112" s="131"/>
      <c r="O112" s="30"/>
      <c r="P112" s="245"/>
      <c r="Q112" s="36"/>
      <c r="R112" s="30"/>
      <c r="S112" s="30"/>
      <c r="T112" s="40"/>
      <c r="U112" s="40"/>
      <c r="V112" s="30"/>
      <c r="W112" s="30"/>
      <c r="X112" s="30"/>
      <c r="Y112" s="30"/>
      <c r="Z112" s="30"/>
      <c r="AA112" s="40"/>
    </row>
    <row r="113" spans="1:27" hidden="1">
      <c r="A113" s="190">
        <v>3155</v>
      </c>
      <c r="B113" s="187" t="s">
        <v>24</v>
      </c>
      <c r="C113" s="187">
        <v>19</v>
      </c>
      <c r="D113" s="187">
        <v>2</v>
      </c>
      <c r="E113" s="187" t="s">
        <v>539</v>
      </c>
      <c r="F113" s="187" t="s">
        <v>433</v>
      </c>
      <c r="G113" s="133">
        <v>43214</v>
      </c>
      <c r="H113" s="249">
        <v>43214</v>
      </c>
      <c r="I113" s="30"/>
      <c r="J113" s="92">
        <v>1</v>
      </c>
      <c r="K113" s="153">
        <v>1</v>
      </c>
      <c r="L113" s="157">
        <f t="shared" si="6"/>
        <v>11</v>
      </c>
      <c r="M113" s="161">
        <f t="shared" si="7"/>
        <v>0.5</v>
      </c>
      <c r="N113" s="131">
        <v>3</v>
      </c>
      <c r="O113" s="30"/>
      <c r="P113" s="245"/>
      <c r="Q113" s="36">
        <v>3</v>
      </c>
      <c r="R113" s="30">
        <v>2</v>
      </c>
      <c r="S113" s="30">
        <v>2</v>
      </c>
      <c r="T113" s="40">
        <v>0</v>
      </c>
      <c r="U113" s="40">
        <v>2</v>
      </c>
      <c r="V113" s="30">
        <v>2</v>
      </c>
      <c r="W113" s="30">
        <v>0</v>
      </c>
      <c r="X113" s="30">
        <v>0</v>
      </c>
      <c r="Y113" s="30">
        <v>0</v>
      </c>
      <c r="Z113" s="30">
        <v>0</v>
      </c>
      <c r="AA113" s="40">
        <v>0</v>
      </c>
    </row>
    <row r="114" spans="1:27" hidden="1">
      <c r="A114" s="190">
        <v>3156</v>
      </c>
      <c r="B114" s="187" t="s">
        <v>24</v>
      </c>
      <c r="C114" s="187">
        <v>20</v>
      </c>
      <c r="D114" s="187">
        <v>2</v>
      </c>
      <c r="E114" s="187" t="s">
        <v>507</v>
      </c>
      <c r="F114" s="187" t="s">
        <v>434</v>
      </c>
      <c r="G114" s="133">
        <v>43214</v>
      </c>
      <c r="H114" s="249">
        <v>43214</v>
      </c>
      <c r="I114" s="30"/>
      <c r="J114" s="92">
        <v>1</v>
      </c>
      <c r="K114" s="153">
        <v>1</v>
      </c>
      <c r="L114" s="157">
        <f t="shared" si="6"/>
        <v>11</v>
      </c>
      <c r="M114" s="161">
        <f t="shared" si="7"/>
        <v>0.5</v>
      </c>
      <c r="N114" s="131">
        <v>3</v>
      </c>
      <c r="O114" s="30"/>
      <c r="P114" s="245"/>
      <c r="Q114" s="36">
        <v>3</v>
      </c>
      <c r="R114" s="30">
        <v>2</v>
      </c>
      <c r="S114" s="30">
        <v>2</v>
      </c>
      <c r="T114" s="40">
        <v>0</v>
      </c>
      <c r="U114" s="40">
        <v>2</v>
      </c>
      <c r="V114" s="30">
        <v>2</v>
      </c>
      <c r="W114" s="30">
        <v>0</v>
      </c>
      <c r="X114" s="30">
        <v>0</v>
      </c>
      <c r="Y114" s="30">
        <v>0</v>
      </c>
      <c r="Z114" s="30">
        <v>0</v>
      </c>
      <c r="AA114" s="40">
        <v>0</v>
      </c>
    </row>
    <row r="115" spans="1:27" hidden="1">
      <c r="A115" s="190">
        <v>3157</v>
      </c>
      <c r="B115" s="187" t="s">
        <v>24</v>
      </c>
      <c r="C115" s="187">
        <v>21</v>
      </c>
      <c r="D115" s="187">
        <v>1</v>
      </c>
      <c r="E115" s="187" t="s">
        <v>527</v>
      </c>
      <c r="F115" s="187" t="s">
        <v>435</v>
      </c>
      <c r="G115" s="133">
        <v>43251</v>
      </c>
      <c r="H115" s="249">
        <v>43250</v>
      </c>
      <c r="I115" s="30"/>
      <c r="J115" s="92">
        <v>1</v>
      </c>
      <c r="K115" s="153">
        <v>1</v>
      </c>
      <c r="L115" s="157">
        <f t="shared" si="6"/>
        <v>18</v>
      </c>
      <c r="M115" s="161">
        <f t="shared" si="7"/>
        <v>0.81818181818181823</v>
      </c>
      <c r="N115" s="247" t="s">
        <v>33</v>
      </c>
      <c r="O115" s="133">
        <v>43251</v>
      </c>
      <c r="P115" s="245"/>
      <c r="Q115" s="36">
        <v>2</v>
      </c>
      <c r="R115" s="30">
        <v>2</v>
      </c>
      <c r="S115" s="30">
        <v>2</v>
      </c>
      <c r="T115" s="40">
        <v>2</v>
      </c>
      <c r="U115" s="40">
        <v>1</v>
      </c>
      <c r="V115" s="30">
        <v>2</v>
      </c>
      <c r="W115" s="30">
        <v>2</v>
      </c>
      <c r="X115" s="30">
        <v>1</v>
      </c>
      <c r="Y115" s="30">
        <v>0</v>
      </c>
      <c r="Z115" s="30">
        <v>2</v>
      </c>
      <c r="AA115" s="40">
        <v>2</v>
      </c>
    </row>
    <row r="116" spans="1:27" hidden="1">
      <c r="A116" s="190">
        <v>3172</v>
      </c>
      <c r="B116" s="187" t="s">
        <v>24</v>
      </c>
      <c r="C116" s="187">
        <v>22</v>
      </c>
      <c r="D116" s="187">
        <v>1</v>
      </c>
      <c r="E116" s="187" t="s">
        <v>47</v>
      </c>
      <c r="F116" s="187" t="s">
        <v>436</v>
      </c>
      <c r="G116" s="133">
        <v>43252</v>
      </c>
      <c r="H116" s="249">
        <v>43255</v>
      </c>
      <c r="I116" s="30" t="s">
        <v>563</v>
      </c>
      <c r="J116" s="92">
        <v>1</v>
      </c>
      <c r="K116" s="153">
        <v>1</v>
      </c>
      <c r="L116" s="157">
        <f t="shared" si="6"/>
        <v>-1</v>
      </c>
      <c r="M116" s="161">
        <f t="shared" si="7"/>
        <v>-4.5454545454545456E-2</v>
      </c>
      <c r="N116" s="224">
        <v>1</v>
      </c>
      <c r="O116" s="133">
        <v>43257</v>
      </c>
      <c r="P116" s="245">
        <v>-1</v>
      </c>
      <c r="Q116" s="36"/>
      <c r="R116" s="30"/>
      <c r="S116" s="30"/>
      <c r="T116" s="40"/>
      <c r="U116" s="40"/>
      <c r="V116" s="30"/>
      <c r="W116" s="30"/>
      <c r="X116" s="30"/>
      <c r="Y116" s="30"/>
      <c r="Z116" s="30"/>
      <c r="AA116" s="40"/>
    </row>
    <row r="117" spans="1:27" hidden="1">
      <c r="A117" s="190">
        <v>3158</v>
      </c>
      <c r="B117" s="187" t="s">
        <v>24</v>
      </c>
      <c r="C117" s="187">
        <v>23</v>
      </c>
      <c r="D117" s="187">
        <v>2</v>
      </c>
      <c r="E117" s="187" t="s">
        <v>540</v>
      </c>
      <c r="F117" s="187" t="s">
        <v>437</v>
      </c>
      <c r="G117" s="133">
        <v>43214</v>
      </c>
      <c r="H117" s="249">
        <v>43214</v>
      </c>
      <c r="I117" s="30"/>
      <c r="J117" s="92">
        <v>1</v>
      </c>
      <c r="K117" s="153">
        <v>1</v>
      </c>
      <c r="L117" s="157">
        <f t="shared" si="6"/>
        <v>14</v>
      </c>
      <c r="M117" s="161">
        <f t="shared" si="7"/>
        <v>0.63636363636363635</v>
      </c>
      <c r="N117" s="131">
        <v>4</v>
      </c>
      <c r="O117" s="30"/>
      <c r="P117" s="245"/>
      <c r="Q117" s="36">
        <v>3</v>
      </c>
      <c r="R117" s="30">
        <v>2</v>
      </c>
      <c r="S117" s="30">
        <v>3</v>
      </c>
      <c r="T117" s="40">
        <v>2</v>
      </c>
      <c r="U117" s="40">
        <v>0</v>
      </c>
      <c r="V117" s="30">
        <v>2</v>
      </c>
      <c r="W117" s="30">
        <v>2</v>
      </c>
      <c r="X117" s="30">
        <v>0</v>
      </c>
      <c r="Y117" s="30">
        <v>0</v>
      </c>
      <c r="Z117" s="30">
        <v>0</v>
      </c>
      <c r="AA117" s="40">
        <v>0</v>
      </c>
    </row>
    <row r="118" spans="1:27" hidden="1">
      <c r="A118" s="190">
        <v>3065</v>
      </c>
      <c r="B118" s="187" t="s">
        <v>24</v>
      </c>
      <c r="C118" s="187">
        <v>24</v>
      </c>
      <c r="D118" s="187">
        <v>2</v>
      </c>
      <c r="E118" s="187" t="s">
        <v>535</v>
      </c>
      <c r="F118" s="187" t="s">
        <v>344</v>
      </c>
      <c r="G118" s="133">
        <v>43214</v>
      </c>
      <c r="H118" s="249">
        <v>43214</v>
      </c>
      <c r="I118" s="30"/>
      <c r="J118" s="92">
        <v>1</v>
      </c>
      <c r="K118" s="153">
        <v>1</v>
      </c>
      <c r="L118" s="157">
        <f t="shared" si="6"/>
        <v>16</v>
      </c>
      <c r="M118" s="161">
        <f t="shared" si="7"/>
        <v>0.72727272727272729</v>
      </c>
      <c r="N118" s="32" t="s">
        <v>33</v>
      </c>
      <c r="O118" s="30"/>
      <c r="P118" s="245"/>
      <c r="Q118" s="36">
        <v>3</v>
      </c>
      <c r="R118" s="30">
        <v>2</v>
      </c>
      <c r="S118" s="30">
        <v>3</v>
      </c>
      <c r="T118" s="40">
        <v>2</v>
      </c>
      <c r="U118" s="40">
        <v>2</v>
      </c>
      <c r="V118" s="30">
        <v>2</v>
      </c>
      <c r="W118" s="30">
        <v>0</v>
      </c>
      <c r="X118" s="30">
        <v>0</v>
      </c>
      <c r="Y118" s="30">
        <v>0</v>
      </c>
      <c r="Z118" s="30">
        <v>2</v>
      </c>
      <c r="AA118" s="40">
        <v>0</v>
      </c>
    </row>
    <row r="119" spans="1:27" hidden="1">
      <c r="A119" s="190">
        <v>3160</v>
      </c>
      <c r="B119" s="187" t="s">
        <v>24</v>
      </c>
      <c r="C119" s="187">
        <v>25</v>
      </c>
      <c r="D119" s="187">
        <v>2</v>
      </c>
      <c r="E119" s="187" t="s">
        <v>541</v>
      </c>
      <c r="F119" s="187" t="s">
        <v>438</v>
      </c>
      <c r="G119" s="133">
        <v>43214</v>
      </c>
      <c r="H119" s="249">
        <v>43214</v>
      </c>
      <c r="I119" s="30"/>
      <c r="J119" s="92">
        <v>1</v>
      </c>
      <c r="K119" s="153">
        <v>1</v>
      </c>
      <c r="L119" s="157">
        <f t="shared" si="6"/>
        <v>10</v>
      </c>
      <c r="M119" s="161">
        <f t="shared" si="7"/>
        <v>0.45454545454545453</v>
      </c>
      <c r="N119" s="131" t="s">
        <v>31</v>
      </c>
      <c r="O119" s="30"/>
      <c r="P119" s="245"/>
      <c r="Q119" s="5">
        <v>3</v>
      </c>
      <c r="R119" s="6">
        <v>0</v>
      </c>
      <c r="S119" s="6">
        <v>3</v>
      </c>
      <c r="T119" s="22">
        <v>0</v>
      </c>
      <c r="U119" s="22">
        <v>2</v>
      </c>
      <c r="V119" s="6">
        <v>2</v>
      </c>
      <c r="W119" s="6">
        <v>0</v>
      </c>
      <c r="X119" s="6">
        <v>0</v>
      </c>
      <c r="Y119" s="6">
        <v>0</v>
      </c>
      <c r="Z119" s="6">
        <v>0</v>
      </c>
      <c r="AA119" s="22">
        <v>0</v>
      </c>
    </row>
    <row r="120" spans="1:27" hidden="1">
      <c r="A120" s="190">
        <v>3159</v>
      </c>
      <c r="B120" s="187" t="s">
        <v>24</v>
      </c>
      <c r="C120" s="187">
        <v>26</v>
      </c>
      <c r="D120" s="187">
        <v>2</v>
      </c>
      <c r="E120" s="187" t="s">
        <v>542</v>
      </c>
      <c r="F120" s="187" t="s">
        <v>439</v>
      </c>
      <c r="G120" s="133">
        <v>43214</v>
      </c>
      <c r="H120" s="249">
        <v>43214</v>
      </c>
      <c r="I120" s="30"/>
      <c r="J120" s="92">
        <v>1</v>
      </c>
      <c r="K120" s="153">
        <v>1</v>
      </c>
      <c r="L120" s="157">
        <f t="shared" si="6"/>
        <v>15</v>
      </c>
      <c r="M120" s="161">
        <f t="shared" si="7"/>
        <v>0.68181818181818177</v>
      </c>
      <c r="N120" s="32" t="s">
        <v>34</v>
      </c>
      <c r="O120" s="30"/>
      <c r="P120" s="245"/>
      <c r="Q120" s="5">
        <v>2</v>
      </c>
      <c r="R120" s="6">
        <v>2</v>
      </c>
      <c r="S120" s="6">
        <v>2</v>
      </c>
      <c r="T120" s="22">
        <v>2</v>
      </c>
      <c r="U120" s="22">
        <v>2</v>
      </c>
      <c r="V120" s="6">
        <v>2</v>
      </c>
      <c r="W120" s="6">
        <v>2</v>
      </c>
      <c r="X120" s="6">
        <v>0</v>
      </c>
      <c r="Y120" s="6">
        <v>0</v>
      </c>
      <c r="Z120" s="6">
        <v>1</v>
      </c>
      <c r="AA120" s="22">
        <v>0</v>
      </c>
    </row>
    <row r="121" spans="1:27" hidden="1">
      <c r="A121" s="190">
        <v>3161</v>
      </c>
      <c r="B121" s="187" t="s">
        <v>24</v>
      </c>
      <c r="C121" s="187">
        <v>39</v>
      </c>
      <c r="D121" s="187">
        <v>1</v>
      </c>
      <c r="E121" s="187" t="s">
        <v>528</v>
      </c>
      <c r="F121" s="187" t="s">
        <v>440</v>
      </c>
      <c r="G121" s="30"/>
      <c r="H121" s="30"/>
      <c r="I121" s="30"/>
      <c r="J121" s="92">
        <v>1</v>
      </c>
      <c r="K121" s="153">
        <v>1</v>
      </c>
      <c r="L121" s="157">
        <f t="shared" si="6"/>
        <v>0</v>
      </c>
      <c r="M121" s="161">
        <f t="shared" si="7"/>
        <v>0</v>
      </c>
      <c r="N121" s="131"/>
      <c r="O121" s="30"/>
      <c r="P121" s="245"/>
      <c r="Q121" s="36"/>
      <c r="R121" s="30"/>
      <c r="S121" s="30"/>
      <c r="T121" s="40"/>
      <c r="U121" s="40"/>
      <c r="V121" s="30"/>
      <c r="W121" s="30"/>
      <c r="X121" s="30"/>
      <c r="Y121" s="30"/>
      <c r="Z121" s="30"/>
      <c r="AA121" s="40"/>
    </row>
    <row r="122" spans="1:27" hidden="1">
      <c r="A122" s="190">
        <v>3162</v>
      </c>
      <c r="B122" s="187" t="s">
        <v>24</v>
      </c>
      <c r="C122" s="187">
        <v>28</v>
      </c>
      <c r="D122" s="187">
        <v>1</v>
      </c>
      <c r="E122" s="187" t="s">
        <v>529</v>
      </c>
      <c r="F122" s="187" t="s">
        <v>441</v>
      </c>
      <c r="G122" s="133">
        <v>43252</v>
      </c>
      <c r="H122" s="249">
        <v>43249</v>
      </c>
      <c r="I122" s="30"/>
      <c r="J122" s="92">
        <v>1</v>
      </c>
      <c r="K122" s="153">
        <v>1</v>
      </c>
      <c r="L122" s="157">
        <f t="shared" si="6"/>
        <v>16</v>
      </c>
      <c r="M122" s="161">
        <f t="shared" si="7"/>
        <v>0.72727272727272729</v>
      </c>
      <c r="N122" s="247">
        <v>4</v>
      </c>
      <c r="O122" s="133">
        <v>43252</v>
      </c>
      <c r="P122" s="245">
        <v>-1</v>
      </c>
      <c r="Q122" s="36">
        <v>2</v>
      </c>
      <c r="R122" s="30">
        <v>2</v>
      </c>
      <c r="S122" s="30">
        <v>2</v>
      </c>
      <c r="T122" s="40">
        <v>2</v>
      </c>
      <c r="U122" s="40">
        <v>1</v>
      </c>
      <c r="V122" s="30">
        <v>2</v>
      </c>
      <c r="W122" s="30">
        <v>2</v>
      </c>
      <c r="X122" s="30">
        <v>1</v>
      </c>
      <c r="Y122" s="30">
        <v>0</v>
      </c>
      <c r="Z122" s="30">
        <v>1</v>
      </c>
      <c r="AA122" s="40">
        <v>2</v>
      </c>
    </row>
    <row r="123" spans="1:27" hidden="1">
      <c r="A123" s="190">
        <v>3163</v>
      </c>
      <c r="B123" s="187" t="s">
        <v>24</v>
      </c>
      <c r="C123" s="187">
        <v>29</v>
      </c>
      <c r="D123" s="187">
        <v>1</v>
      </c>
      <c r="E123" s="187" t="s">
        <v>530</v>
      </c>
      <c r="F123" s="187" t="s">
        <v>442</v>
      </c>
      <c r="G123" s="133">
        <v>43252</v>
      </c>
      <c r="H123" s="249">
        <v>43249</v>
      </c>
      <c r="I123" s="30"/>
      <c r="J123" s="92">
        <v>1</v>
      </c>
      <c r="K123" s="153">
        <v>1</v>
      </c>
      <c r="L123" s="157">
        <f t="shared" si="6"/>
        <v>15</v>
      </c>
      <c r="M123" s="161">
        <f t="shared" si="7"/>
        <v>0.68181818181818177</v>
      </c>
      <c r="N123" s="247">
        <v>4</v>
      </c>
      <c r="O123" s="133">
        <v>43252</v>
      </c>
      <c r="P123" s="245">
        <v>-1</v>
      </c>
      <c r="Q123" s="36">
        <v>2</v>
      </c>
      <c r="R123" s="30">
        <v>2</v>
      </c>
      <c r="S123" s="30">
        <v>2</v>
      </c>
      <c r="T123" s="40">
        <v>2</v>
      </c>
      <c r="U123" s="40">
        <v>1</v>
      </c>
      <c r="V123" s="30">
        <v>1</v>
      </c>
      <c r="W123" s="30">
        <v>2</v>
      </c>
      <c r="X123" s="30">
        <v>1</v>
      </c>
      <c r="Y123" s="30">
        <v>0</v>
      </c>
      <c r="Z123" s="30">
        <v>1</v>
      </c>
      <c r="AA123" s="40">
        <v>2</v>
      </c>
    </row>
    <row r="124" spans="1:27" hidden="1">
      <c r="A124" s="190">
        <v>3164</v>
      </c>
      <c r="B124" s="187" t="s">
        <v>24</v>
      </c>
      <c r="C124" s="187">
        <v>30</v>
      </c>
      <c r="D124" s="187">
        <v>2</v>
      </c>
      <c r="E124" s="187" t="s">
        <v>543</v>
      </c>
      <c r="F124" s="187" t="s">
        <v>443</v>
      </c>
      <c r="G124" s="133">
        <v>43219</v>
      </c>
      <c r="H124" s="249">
        <v>43219</v>
      </c>
      <c r="I124" s="30"/>
      <c r="J124" s="92">
        <v>1</v>
      </c>
      <c r="K124" s="153">
        <v>1</v>
      </c>
      <c r="L124" s="157">
        <f t="shared" si="6"/>
        <v>1</v>
      </c>
      <c r="M124" s="161">
        <f t="shared" si="7"/>
        <v>4.5454545454545456E-2</v>
      </c>
      <c r="N124" s="131">
        <v>1</v>
      </c>
      <c r="O124" s="30"/>
      <c r="P124" s="245"/>
      <c r="Q124" s="36">
        <v>0</v>
      </c>
      <c r="R124" s="30">
        <v>0</v>
      </c>
      <c r="S124" s="30">
        <v>0</v>
      </c>
      <c r="T124" s="40">
        <v>0</v>
      </c>
      <c r="U124" s="40">
        <v>0</v>
      </c>
      <c r="V124" s="30">
        <v>1</v>
      </c>
      <c r="W124" s="30">
        <v>0</v>
      </c>
      <c r="X124" s="30">
        <v>0</v>
      </c>
      <c r="Y124" s="30">
        <v>0</v>
      </c>
      <c r="Z124" s="30">
        <v>0</v>
      </c>
      <c r="AA124" s="40">
        <v>0</v>
      </c>
    </row>
    <row r="125" spans="1:27" hidden="1">
      <c r="A125" s="190">
        <v>3165</v>
      </c>
      <c r="B125" s="187" t="s">
        <v>24</v>
      </c>
      <c r="C125" s="187">
        <v>31</v>
      </c>
      <c r="D125" s="187">
        <v>1</v>
      </c>
      <c r="E125" s="187" t="s">
        <v>531</v>
      </c>
      <c r="F125" s="187" t="s">
        <v>444</v>
      </c>
      <c r="G125" s="133">
        <v>43252</v>
      </c>
      <c r="H125" s="133">
        <v>43241</v>
      </c>
      <c r="I125" s="30"/>
      <c r="J125" s="92">
        <v>1</v>
      </c>
      <c r="K125" s="153">
        <v>1</v>
      </c>
      <c r="L125" s="157">
        <f>SUM(P125:AA125)</f>
        <v>0</v>
      </c>
      <c r="M125" s="161">
        <f>L125/$L$2</f>
        <v>0</v>
      </c>
      <c r="N125" s="131">
        <v>4</v>
      </c>
      <c r="O125" s="133">
        <v>43256</v>
      </c>
      <c r="P125" s="245"/>
      <c r="Q125" s="36"/>
      <c r="R125" s="30"/>
      <c r="S125" s="30"/>
      <c r="T125" s="40"/>
      <c r="U125" s="40"/>
      <c r="V125" s="30"/>
      <c r="W125" s="30"/>
      <c r="X125" s="30"/>
      <c r="Y125" s="30"/>
      <c r="Z125" s="30"/>
      <c r="AA125" s="40"/>
    </row>
    <row r="126" spans="1:27" hidden="1">
      <c r="A126" s="190">
        <v>3166</v>
      </c>
      <c r="B126" s="187" t="s">
        <v>24</v>
      </c>
      <c r="C126" s="187">
        <v>32</v>
      </c>
      <c r="D126" s="187">
        <v>2</v>
      </c>
      <c r="E126" s="187" t="s">
        <v>186</v>
      </c>
      <c r="F126" s="187" t="s">
        <v>445</v>
      </c>
      <c r="G126" s="133">
        <v>43214</v>
      </c>
      <c r="H126" s="249">
        <v>43214</v>
      </c>
      <c r="I126" s="30"/>
      <c r="J126" s="92">
        <v>1</v>
      </c>
      <c r="K126" s="153">
        <v>1</v>
      </c>
      <c r="L126" s="157">
        <f t="shared" si="6"/>
        <v>14</v>
      </c>
      <c r="M126" s="161">
        <f t="shared" si="7"/>
        <v>0.63636363636363635</v>
      </c>
      <c r="N126" s="131">
        <v>4</v>
      </c>
      <c r="O126" s="30"/>
      <c r="P126" s="245"/>
      <c r="Q126" s="36">
        <v>3</v>
      </c>
      <c r="R126" s="30">
        <v>2</v>
      </c>
      <c r="S126" s="30">
        <v>3</v>
      </c>
      <c r="T126" s="40">
        <v>2</v>
      </c>
      <c r="U126" s="40">
        <v>0</v>
      </c>
      <c r="V126" s="30">
        <v>2</v>
      </c>
      <c r="W126" s="30">
        <v>2</v>
      </c>
      <c r="X126" s="30">
        <v>0</v>
      </c>
      <c r="Y126" s="30">
        <v>0</v>
      </c>
      <c r="Z126" s="30">
        <v>0</v>
      </c>
      <c r="AA126" s="40">
        <v>0</v>
      </c>
    </row>
    <row r="127" spans="1:27" hidden="1">
      <c r="A127" s="190">
        <v>3167</v>
      </c>
      <c r="B127" s="187" t="s">
        <v>24</v>
      </c>
      <c r="C127" s="187">
        <v>33</v>
      </c>
      <c r="D127" s="187">
        <v>2</v>
      </c>
      <c r="E127" s="187" t="s">
        <v>544</v>
      </c>
      <c r="F127" s="187" t="s">
        <v>446</v>
      </c>
      <c r="G127" s="133">
        <v>43214</v>
      </c>
      <c r="H127" s="249">
        <v>43214</v>
      </c>
      <c r="I127" s="30"/>
      <c r="J127" s="92">
        <v>1</v>
      </c>
      <c r="K127" s="153">
        <v>1</v>
      </c>
      <c r="L127" s="157">
        <f t="shared" si="6"/>
        <v>12</v>
      </c>
      <c r="M127" s="161">
        <f t="shared" si="7"/>
        <v>0.54545454545454541</v>
      </c>
      <c r="N127" s="32" t="s">
        <v>32</v>
      </c>
      <c r="O127" s="30"/>
      <c r="P127" s="245"/>
      <c r="Q127" s="5">
        <v>2</v>
      </c>
      <c r="R127" s="6">
        <v>2</v>
      </c>
      <c r="S127" s="6">
        <v>2</v>
      </c>
      <c r="T127" s="22">
        <v>2</v>
      </c>
      <c r="U127" s="22">
        <v>2</v>
      </c>
      <c r="V127" s="6">
        <v>2</v>
      </c>
      <c r="W127" s="6">
        <v>0</v>
      </c>
      <c r="X127" s="6">
        <v>0</v>
      </c>
      <c r="Y127" s="6">
        <v>0</v>
      </c>
      <c r="Z127" s="6">
        <v>0</v>
      </c>
      <c r="AA127" s="22">
        <v>0</v>
      </c>
    </row>
    <row r="128" spans="1:27" hidden="1">
      <c r="A128" s="190">
        <v>3168</v>
      </c>
      <c r="B128" s="187" t="s">
        <v>24</v>
      </c>
      <c r="C128" s="187">
        <v>34</v>
      </c>
      <c r="D128" s="187">
        <v>1</v>
      </c>
      <c r="E128" s="187" t="s">
        <v>358</v>
      </c>
      <c r="F128" s="187" t="s">
        <v>59</v>
      </c>
      <c r="G128" s="133">
        <v>43251</v>
      </c>
      <c r="H128" s="249">
        <v>43249</v>
      </c>
      <c r="I128" s="30"/>
      <c r="J128" s="92">
        <v>1</v>
      </c>
      <c r="K128" s="153">
        <v>1</v>
      </c>
      <c r="L128" s="157">
        <f t="shared" si="6"/>
        <v>15</v>
      </c>
      <c r="M128" s="161">
        <f t="shared" si="7"/>
        <v>0.68181818181818177</v>
      </c>
      <c r="N128" s="247">
        <v>4</v>
      </c>
      <c r="O128" s="133">
        <v>43251</v>
      </c>
      <c r="P128" s="245">
        <v>-1</v>
      </c>
      <c r="Q128" s="36">
        <v>2</v>
      </c>
      <c r="R128" s="30">
        <v>2</v>
      </c>
      <c r="S128" s="30">
        <v>2</v>
      </c>
      <c r="T128" s="40">
        <v>2</v>
      </c>
      <c r="U128" s="40">
        <v>1</v>
      </c>
      <c r="V128" s="30">
        <v>2</v>
      </c>
      <c r="W128" s="30">
        <v>2</v>
      </c>
      <c r="X128" s="30">
        <v>1</v>
      </c>
      <c r="Y128" s="30">
        <v>0</v>
      </c>
      <c r="Z128" s="30">
        <v>1</v>
      </c>
      <c r="AA128" s="40">
        <v>1</v>
      </c>
    </row>
    <row r="129" spans="1:27" hidden="1">
      <c r="A129" s="190">
        <v>3200</v>
      </c>
      <c r="B129" s="187" t="s">
        <v>24</v>
      </c>
      <c r="C129" s="187">
        <v>35</v>
      </c>
      <c r="D129" s="187">
        <v>2</v>
      </c>
      <c r="E129" s="187" t="s">
        <v>185</v>
      </c>
      <c r="F129" s="187" t="s">
        <v>562</v>
      </c>
      <c r="G129" s="133">
        <v>43252</v>
      </c>
      <c r="H129" s="249">
        <v>43252</v>
      </c>
      <c r="I129" s="30"/>
      <c r="J129" s="92">
        <v>1</v>
      </c>
      <c r="K129" s="153">
        <v>1</v>
      </c>
      <c r="L129" s="157">
        <f t="shared" si="6"/>
        <v>19</v>
      </c>
      <c r="M129" s="161">
        <f t="shared" si="7"/>
        <v>0.86363636363636365</v>
      </c>
      <c r="N129" s="247">
        <v>5</v>
      </c>
      <c r="O129" s="133">
        <v>43253</v>
      </c>
      <c r="P129" s="245"/>
      <c r="Q129" s="36">
        <v>2</v>
      </c>
      <c r="R129" s="30">
        <v>2</v>
      </c>
      <c r="S129" s="30">
        <v>2</v>
      </c>
      <c r="T129" s="40">
        <v>2</v>
      </c>
      <c r="U129" s="40">
        <v>2</v>
      </c>
      <c r="V129" s="30">
        <v>2</v>
      </c>
      <c r="W129" s="30">
        <v>2</v>
      </c>
      <c r="X129" s="30">
        <v>1</v>
      </c>
      <c r="Y129" s="30">
        <v>1</v>
      </c>
      <c r="Z129" s="30">
        <v>1</v>
      </c>
      <c r="AA129" s="40">
        <v>2</v>
      </c>
    </row>
    <row r="130" spans="1:27" hidden="1">
      <c r="A130" s="190">
        <v>3169</v>
      </c>
      <c r="B130" s="187" t="s">
        <v>24</v>
      </c>
      <c r="C130" s="187">
        <v>35</v>
      </c>
      <c r="D130" s="187">
        <v>1</v>
      </c>
      <c r="E130" s="187" t="s">
        <v>532</v>
      </c>
      <c r="F130" s="187" t="s">
        <v>387</v>
      </c>
      <c r="G130" s="133">
        <v>43252</v>
      </c>
      <c r="H130" s="133">
        <v>43241</v>
      </c>
      <c r="I130" s="30"/>
      <c r="J130" s="92">
        <v>1</v>
      </c>
      <c r="K130" s="153">
        <v>1</v>
      </c>
      <c r="L130" s="157">
        <f t="shared" si="6"/>
        <v>0</v>
      </c>
      <c r="M130" s="161">
        <f t="shared" si="7"/>
        <v>0</v>
      </c>
      <c r="N130" s="131">
        <v>4</v>
      </c>
      <c r="O130" s="133">
        <v>43256</v>
      </c>
      <c r="P130" s="245"/>
      <c r="Q130" s="36"/>
      <c r="R130" s="30"/>
      <c r="S130" s="30"/>
      <c r="T130" s="40"/>
      <c r="U130" s="40"/>
      <c r="V130" s="30"/>
      <c r="W130" s="30"/>
      <c r="X130" s="30"/>
      <c r="Y130" s="30"/>
      <c r="Z130" s="30"/>
      <c r="AA130" s="40"/>
    </row>
    <row r="131" spans="1:27" hidden="1">
      <c r="A131" s="190">
        <v>3170</v>
      </c>
      <c r="B131" s="187" t="s">
        <v>24</v>
      </c>
      <c r="C131" s="187">
        <v>36</v>
      </c>
      <c r="D131" s="187">
        <v>1</v>
      </c>
      <c r="E131" s="187" t="s">
        <v>533</v>
      </c>
      <c r="F131" s="187" t="s">
        <v>447</v>
      </c>
      <c r="G131" s="133">
        <v>43252</v>
      </c>
      <c r="H131" s="249">
        <v>43252</v>
      </c>
      <c r="I131" s="30"/>
      <c r="J131" s="92">
        <v>1</v>
      </c>
      <c r="K131" s="153">
        <v>1</v>
      </c>
      <c r="L131" s="157">
        <f t="shared" si="6"/>
        <v>2</v>
      </c>
      <c r="M131" s="161">
        <f t="shared" si="7"/>
        <v>9.0909090909090912E-2</v>
      </c>
      <c r="N131" s="131">
        <v>1</v>
      </c>
      <c r="O131" s="133">
        <v>43252</v>
      </c>
      <c r="P131" s="245">
        <v>-2</v>
      </c>
      <c r="Q131" s="36">
        <v>2</v>
      </c>
      <c r="R131" s="30">
        <v>0</v>
      </c>
      <c r="S131" s="30">
        <v>2</v>
      </c>
      <c r="T131" s="40">
        <v>0</v>
      </c>
      <c r="U131" s="4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40">
        <v>0</v>
      </c>
    </row>
    <row r="132" spans="1:27" hidden="1">
      <c r="A132" s="190">
        <v>3171</v>
      </c>
      <c r="B132" s="187" t="s">
        <v>24</v>
      </c>
      <c r="C132" s="187">
        <v>37</v>
      </c>
      <c r="D132" s="187">
        <v>1</v>
      </c>
      <c r="E132" s="187" t="s">
        <v>534</v>
      </c>
      <c r="F132" s="187" t="s">
        <v>448</v>
      </c>
      <c r="G132" s="133">
        <v>43251</v>
      </c>
      <c r="H132" s="249">
        <v>43247</v>
      </c>
      <c r="I132" s="30"/>
      <c r="J132" s="92">
        <v>1</v>
      </c>
      <c r="K132" s="153">
        <v>1</v>
      </c>
      <c r="L132" s="157">
        <f t="shared" si="6"/>
        <v>18</v>
      </c>
      <c r="M132" s="161">
        <f t="shared" si="7"/>
        <v>0.81818181818181823</v>
      </c>
      <c r="N132" s="131" t="s">
        <v>33</v>
      </c>
      <c r="O132" s="133">
        <v>43248</v>
      </c>
      <c r="P132" s="245"/>
      <c r="Q132" s="36">
        <v>2</v>
      </c>
      <c r="R132" s="30">
        <v>2</v>
      </c>
      <c r="S132" s="30">
        <v>2</v>
      </c>
      <c r="T132" s="40">
        <v>2</v>
      </c>
      <c r="U132" s="40">
        <v>2</v>
      </c>
      <c r="V132" s="30">
        <v>2</v>
      </c>
      <c r="W132" s="30">
        <v>2</v>
      </c>
      <c r="X132" s="30">
        <v>1</v>
      </c>
      <c r="Y132" s="30">
        <v>0</v>
      </c>
      <c r="Z132" s="30">
        <v>1</v>
      </c>
      <c r="AA132" s="40">
        <v>2</v>
      </c>
    </row>
    <row r="133" spans="1:27" ht="15" hidden="1" thickBot="1">
      <c r="A133" s="222">
        <v>3189</v>
      </c>
      <c r="B133" s="223" t="s">
        <v>24</v>
      </c>
      <c r="C133" s="223">
        <v>38</v>
      </c>
      <c r="D133" s="223">
        <v>2</v>
      </c>
      <c r="E133" s="223" t="s">
        <v>545</v>
      </c>
      <c r="F133" s="223" t="s">
        <v>546</v>
      </c>
      <c r="G133" s="209">
        <v>43214</v>
      </c>
      <c r="H133" s="250">
        <v>43214</v>
      </c>
      <c r="I133" s="207"/>
      <c r="J133" s="233">
        <v>1</v>
      </c>
      <c r="K133" s="234">
        <v>1</v>
      </c>
      <c r="L133" s="235">
        <f t="shared" si="6"/>
        <v>16</v>
      </c>
      <c r="M133" s="236">
        <f t="shared" si="7"/>
        <v>0.72727272727272729</v>
      </c>
      <c r="N133" s="217" t="s">
        <v>33</v>
      </c>
      <c r="O133" s="207"/>
      <c r="P133" s="246"/>
      <c r="Q133" s="206">
        <v>3</v>
      </c>
      <c r="R133" s="207">
        <v>2</v>
      </c>
      <c r="S133" s="207">
        <v>3</v>
      </c>
      <c r="T133" s="210">
        <v>2</v>
      </c>
      <c r="U133" s="210">
        <v>2</v>
      </c>
      <c r="V133" s="207">
        <v>2</v>
      </c>
      <c r="W133" s="207">
        <v>0</v>
      </c>
      <c r="X133" s="207">
        <v>0</v>
      </c>
      <c r="Y133" s="207">
        <v>0</v>
      </c>
      <c r="Z133" s="207">
        <v>2</v>
      </c>
      <c r="AA133" s="210">
        <v>0</v>
      </c>
    </row>
  </sheetData>
  <autoFilter ref="A1:AA133">
    <filterColumn colId="1">
      <filters>
        <filter val="b"/>
      </filters>
    </filterColumn>
    <filterColumn colId="3">
      <filters blank="1">
        <filter val="1"/>
        <filter val="2"/>
      </filters>
    </filterColumn>
    <sortState ref="A4:AA129">
      <sortCondition ref="B1:B108"/>
    </sortState>
  </autoFilter>
  <mergeCells count="12">
    <mergeCell ref="M1:M2"/>
    <mergeCell ref="N1:N2"/>
    <mergeCell ref="H1:H2"/>
    <mergeCell ref="A1:A2"/>
    <mergeCell ref="B1:B2"/>
    <mergeCell ref="C1:C2"/>
    <mergeCell ref="D1:D2"/>
    <mergeCell ref="E1:E2"/>
    <mergeCell ref="F1:F2"/>
    <mergeCell ref="G1:G2"/>
    <mergeCell ref="J1:J2"/>
    <mergeCell ref="K1:K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A108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62" sqref="G62"/>
    </sheetView>
  </sheetViews>
  <sheetFormatPr defaultColWidth="9.109375" defaultRowHeight="14.4"/>
  <cols>
    <col min="1" max="4" width="5.6640625" style="10" customWidth="1"/>
    <col min="5" max="6" width="17.6640625" style="10" customWidth="1"/>
    <col min="7" max="8" width="14.88671875" style="10" customWidth="1"/>
    <col min="9" max="9" width="17.6640625" style="10" customWidth="1"/>
    <col min="10" max="10" width="5.6640625" style="10" customWidth="1"/>
    <col min="11" max="11" width="5.6640625" style="29" customWidth="1"/>
    <col min="12" max="12" width="5.6640625" style="10" customWidth="1"/>
    <col min="13" max="13" width="6.88671875" style="10" customWidth="1"/>
    <col min="14" max="14" width="5.6640625" style="10" customWidth="1"/>
    <col min="15" max="15" width="15.6640625" style="10" customWidth="1"/>
    <col min="16" max="26" width="4.6640625" style="10" customWidth="1"/>
    <col min="27" max="16384" width="9.109375" style="10"/>
  </cols>
  <sheetData>
    <row r="1" spans="1:26" ht="96">
      <c r="A1" s="596" t="s">
        <v>3</v>
      </c>
      <c r="B1" s="596" t="s">
        <v>4</v>
      </c>
      <c r="C1" s="596" t="s">
        <v>6</v>
      </c>
      <c r="D1" s="597" t="s">
        <v>5</v>
      </c>
      <c r="E1" s="596" t="s">
        <v>202</v>
      </c>
      <c r="F1" s="596" t="s">
        <v>42</v>
      </c>
      <c r="G1" s="583" t="s">
        <v>200</v>
      </c>
      <c r="H1" s="585" t="s">
        <v>201</v>
      </c>
      <c r="I1" s="176" t="s">
        <v>203</v>
      </c>
      <c r="J1" s="589" t="s">
        <v>204</v>
      </c>
      <c r="K1" s="587" t="s">
        <v>205</v>
      </c>
      <c r="L1" s="141" t="s">
        <v>206</v>
      </c>
      <c r="M1" s="591" t="s">
        <v>29</v>
      </c>
      <c r="N1" s="581" t="s">
        <v>28</v>
      </c>
      <c r="O1" s="50" t="s">
        <v>207</v>
      </c>
      <c r="P1" s="47" t="s">
        <v>194</v>
      </c>
      <c r="Q1" s="178" t="s">
        <v>69</v>
      </c>
      <c r="R1" s="178" t="s">
        <v>70</v>
      </c>
      <c r="S1" s="178" t="s">
        <v>71</v>
      </c>
      <c r="T1" s="178" t="s">
        <v>72</v>
      </c>
      <c r="U1" s="8" t="s">
        <v>73</v>
      </c>
      <c r="V1" s="178" t="s">
        <v>74</v>
      </c>
      <c r="W1" s="178" t="s">
        <v>75</v>
      </c>
      <c r="X1" s="178" t="s">
        <v>76</v>
      </c>
      <c r="Y1" s="178" t="s">
        <v>77</v>
      </c>
      <c r="Z1" s="9" t="s">
        <v>78</v>
      </c>
    </row>
    <row r="2" spans="1:26" ht="15" thickBot="1">
      <c r="A2" s="596"/>
      <c r="B2" s="596"/>
      <c r="C2" s="596"/>
      <c r="D2" s="601"/>
      <c r="E2" s="596"/>
      <c r="F2" s="596"/>
      <c r="G2" s="584"/>
      <c r="H2" s="586"/>
      <c r="I2" s="177"/>
      <c r="J2" s="590"/>
      <c r="K2" s="588"/>
      <c r="L2" s="112">
        <v>20</v>
      </c>
      <c r="M2" s="592"/>
      <c r="N2" s="582"/>
      <c r="O2" s="85"/>
      <c r="P2" s="12"/>
      <c r="Q2" s="180">
        <v>3</v>
      </c>
      <c r="R2" s="180">
        <v>2</v>
      </c>
      <c r="S2" s="180">
        <v>3</v>
      </c>
      <c r="T2" s="180">
        <v>2</v>
      </c>
      <c r="U2" s="179">
        <v>2</v>
      </c>
      <c r="V2" s="180">
        <v>2</v>
      </c>
      <c r="W2" s="180">
        <v>1</v>
      </c>
      <c r="X2" s="180">
        <v>1</v>
      </c>
      <c r="Y2" s="180">
        <v>2</v>
      </c>
      <c r="Z2" s="13">
        <v>2</v>
      </c>
    </row>
    <row r="3" spans="1:26" ht="15" hidden="1" thickBot="1">
      <c r="A3" s="35">
        <v>1</v>
      </c>
      <c r="B3" s="33" t="s">
        <v>21</v>
      </c>
      <c r="C3" s="33">
        <v>1</v>
      </c>
      <c r="D3" s="33">
        <v>2</v>
      </c>
      <c r="E3" s="33" t="s">
        <v>180</v>
      </c>
      <c r="F3" s="39" t="s">
        <v>50</v>
      </c>
      <c r="G3" s="140">
        <v>42837</v>
      </c>
      <c r="H3" s="14">
        <v>42837</v>
      </c>
      <c r="I3" s="4"/>
      <c r="J3" s="94">
        <v>1</v>
      </c>
      <c r="K3" s="152">
        <v>1</v>
      </c>
      <c r="L3" s="156">
        <f>SUM(P3:Z3)</f>
        <v>16</v>
      </c>
      <c r="M3" s="160">
        <f>L3/$L$2</f>
        <v>0.8</v>
      </c>
      <c r="N3" s="52" t="s">
        <v>33</v>
      </c>
      <c r="O3" s="125">
        <v>42838</v>
      </c>
      <c r="P3" s="16"/>
      <c r="Q3" s="3">
        <v>2</v>
      </c>
      <c r="R3" s="4">
        <v>2</v>
      </c>
      <c r="S3" s="4">
        <v>2</v>
      </c>
      <c r="T3" s="17">
        <v>2</v>
      </c>
      <c r="U3" s="3">
        <v>2</v>
      </c>
      <c r="V3" s="4">
        <v>2</v>
      </c>
      <c r="W3" s="4">
        <v>1</v>
      </c>
      <c r="X3" s="4">
        <v>0</v>
      </c>
      <c r="Y3" s="4">
        <v>1</v>
      </c>
      <c r="Z3" s="17">
        <v>2</v>
      </c>
    </row>
    <row r="4" spans="1:26" ht="15" hidden="1" thickBot="1">
      <c r="A4" s="36">
        <v>2</v>
      </c>
      <c r="B4" s="30" t="s">
        <v>21</v>
      </c>
      <c r="C4" s="30">
        <v>2</v>
      </c>
      <c r="D4" s="30">
        <v>2</v>
      </c>
      <c r="E4" s="30" t="s">
        <v>15</v>
      </c>
      <c r="F4" s="40" t="s">
        <v>83</v>
      </c>
      <c r="G4" s="134">
        <v>42837</v>
      </c>
      <c r="H4" s="19">
        <v>42837</v>
      </c>
      <c r="I4" s="6"/>
      <c r="J4" s="92">
        <v>1</v>
      </c>
      <c r="K4" s="153">
        <v>1</v>
      </c>
      <c r="L4" s="157">
        <f t="shared" ref="L4:L67" si="0">SUM(P4:Z4)</f>
        <v>11</v>
      </c>
      <c r="M4" s="161">
        <f t="shared" ref="M4:M73" si="1">L4/$L$2</f>
        <v>0.55000000000000004</v>
      </c>
      <c r="N4" s="32">
        <v>3</v>
      </c>
      <c r="O4" s="123">
        <v>42838</v>
      </c>
      <c r="P4" s="21"/>
      <c r="Q4" s="5">
        <v>2</v>
      </c>
      <c r="R4" s="6">
        <v>2</v>
      </c>
      <c r="S4" s="6">
        <v>2</v>
      </c>
      <c r="T4" s="22">
        <v>2</v>
      </c>
      <c r="U4" s="5">
        <v>2</v>
      </c>
      <c r="V4" s="6">
        <v>0</v>
      </c>
      <c r="W4" s="6">
        <v>0</v>
      </c>
      <c r="X4" s="6">
        <v>0</v>
      </c>
      <c r="Y4" s="6">
        <v>1</v>
      </c>
      <c r="Z4" s="22">
        <v>0</v>
      </c>
    </row>
    <row r="5" spans="1:26" ht="15" hidden="1" thickBot="1">
      <c r="A5" s="36">
        <v>3</v>
      </c>
      <c r="B5" s="30" t="s">
        <v>21</v>
      </c>
      <c r="C5" s="30">
        <v>3</v>
      </c>
      <c r="D5" s="30">
        <v>1</v>
      </c>
      <c r="E5" s="30" t="s">
        <v>48</v>
      </c>
      <c r="F5" s="40" t="s">
        <v>84</v>
      </c>
      <c r="G5" s="53">
        <v>42821</v>
      </c>
      <c r="H5" s="19">
        <v>42821</v>
      </c>
      <c r="I5" s="6"/>
      <c r="J5" s="92">
        <v>1</v>
      </c>
      <c r="K5" s="153">
        <v>1</v>
      </c>
      <c r="L5" s="157">
        <f t="shared" si="0"/>
        <v>11</v>
      </c>
      <c r="M5" s="161">
        <f t="shared" si="1"/>
        <v>0.55000000000000004</v>
      </c>
      <c r="N5" s="32">
        <v>3</v>
      </c>
      <c r="O5" s="37">
        <v>42828</v>
      </c>
      <c r="P5" s="21"/>
      <c r="Q5" s="5">
        <v>2</v>
      </c>
      <c r="R5" s="6">
        <v>2</v>
      </c>
      <c r="S5" s="6">
        <v>2</v>
      </c>
      <c r="T5" s="22">
        <v>0</v>
      </c>
      <c r="U5" s="5">
        <v>2</v>
      </c>
      <c r="V5" s="6">
        <v>2</v>
      </c>
      <c r="W5" s="6">
        <v>0</v>
      </c>
      <c r="X5" s="6">
        <v>0</v>
      </c>
      <c r="Y5" s="6">
        <v>1</v>
      </c>
      <c r="Z5" s="22">
        <v>0</v>
      </c>
    </row>
    <row r="6" spans="1:26" ht="15" hidden="1" thickBot="1">
      <c r="A6" s="36">
        <v>4</v>
      </c>
      <c r="B6" s="6" t="s">
        <v>21</v>
      </c>
      <c r="C6" s="6">
        <v>4</v>
      </c>
      <c r="D6" s="30">
        <v>2</v>
      </c>
      <c r="E6" s="6" t="s">
        <v>66</v>
      </c>
      <c r="F6" s="22" t="s">
        <v>85</v>
      </c>
      <c r="G6" s="134">
        <v>42837</v>
      </c>
      <c r="H6" s="19">
        <v>42837</v>
      </c>
      <c r="I6" s="6"/>
      <c r="J6" s="92">
        <v>1</v>
      </c>
      <c r="K6" s="153">
        <v>1</v>
      </c>
      <c r="L6" s="157">
        <f t="shared" si="0"/>
        <v>14</v>
      </c>
      <c r="M6" s="161">
        <f t="shared" si="1"/>
        <v>0.7</v>
      </c>
      <c r="N6" s="32">
        <v>4</v>
      </c>
      <c r="O6" s="37">
        <v>42838</v>
      </c>
      <c r="P6" s="21"/>
      <c r="Q6" s="5">
        <v>2</v>
      </c>
      <c r="R6" s="6">
        <v>2</v>
      </c>
      <c r="S6" s="6">
        <v>2</v>
      </c>
      <c r="T6" s="22">
        <v>2</v>
      </c>
      <c r="U6" s="5">
        <v>2</v>
      </c>
      <c r="V6" s="6">
        <v>1</v>
      </c>
      <c r="W6" s="6">
        <v>0</v>
      </c>
      <c r="X6" s="6">
        <v>0</v>
      </c>
      <c r="Y6" s="6">
        <v>1</v>
      </c>
      <c r="Z6" s="22">
        <v>2</v>
      </c>
    </row>
    <row r="7" spans="1:26" ht="15" hidden="1" thickBot="1">
      <c r="A7" s="36">
        <v>5</v>
      </c>
      <c r="B7" s="6" t="s">
        <v>21</v>
      </c>
      <c r="C7" s="6">
        <v>5</v>
      </c>
      <c r="D7" s="30">
        <v>1</v>
      </c>
      <c r="E7" s="6" t="s">
        <v>19</v>
      </c>
      <c r="F7" s="22" t="s">
        <v>86</v>
      </c>
      <c r="G7" s="53">
        <v>42821</v>
      </c>
      <c r="H7" s="19">
        <v>42821</v>
      </c>
      <c r="I7" s="6"/>
      <c r="J7" s="92">
        <v>1</v>
      </c>
      <c r="K7" s="153">
        <v>1</v>
      </c>
      <c r="L7" s="157">
        <f t="shared" si="0"/>
        <v>8</v>
      </c>
      <c r="M7" s="161">
        <f t="shared" si="1"/>
        <v>0.4</v>
      </c>
      <c r="N7" s="32">
        <v>2</v>
      </c>
      <c r="O7" s="37">
        <v>42828</v>
      </c>
      <c r="P7" s="21"/>
      <c r="Q7" s="5">
        <v>2</v>
      </c>
      <c r="R7" s="6">
        <v>2</v>
      </c>
      <c r="S7" s="6">
        <v>2</v>
      </c>
      <c r="T7" s="22">
        <v>0</v>
      </c>
      <c r="U7" s="5">
        <v>2</v>
      </c>
      <c r="V7" s="6">
        <v>0</v>
      </c>
      <c r="W7" s="6">
        <v>0</v>
      </c>
      <c r="X7" s="6">
        <v>0</v>
      </c>
      <c r="Y7" s="6">
        <v>0</v>
      </c>
      <c r="Z7" s="22">
        <v>0</v>
      </c>
    </row>
    <row r="8" spans="1:26" ht="15" hidden="1" thickBot="1">
      <c r="A8" s="36">
        <v>6</v>
      </c>
      <c r="B8" s="6" t="s">
        <v>21</v>
      </c>
      <c r="C8" s="6">
        <v>6</v>
      </c>
      <c r="D8" s="30">
        <v>2</v>
      </c>
      <c r="E8" s="6" t="s">
        <v>179</v>
      </c>
      <c r="F8" s="22" t="s">
        <v>87</v>
      </c>
      <c r="G8" s="134">
        <v>42837</v>
      </c>
      <c r="H8" s="19">
        <v>42837</v>
      </c>
      <c r="I8" s="6"/>
      <c r="J8" s="92">
        <v>1</v>
      </c>
      <c r="K8" s="153">
        <v>1</v>
      </c>
      <c r="L8" s="157">
        <f t="shared" si="0"/>
        <v>16</v>
      </c>
      <c r="M8" s="161">
        <f t="shared" si="1"/>
        <v>0.8</v>
      </c>
      <c r="N8" s="32" t="s">
        <v>33</v>
      </c>
      <c r="O8" s="37">
        <v>42838</v>
      </c>
      <c r="P8" s="21"/>
      <c r="Q8" s="5">
        <v>2</v>
      </c>
      <c r="R8" s="6">
        <v>2</v>
      </c>
      <c r="S8" s="6">
        <v>2</v>
      </c>
      <c r="T8" s="22">
        <v>2</v>
      </c>
      <c r="U8" s="5">
        <v>2</v>
      </c>
      <c r="V8" s="6">
        <v>2</v>
      </c>
      <c r="W8" s="6">
        <v>1</v>
      </c>
      <c r="X8" s="6">
        <v>0</v>
      </c>
      <c r="Y8" s="6">
        <v>1</v>
      </c>
      <c r="Z8" s="22">
        <v>2</v>
      </c>
    </row>
    <row r="9" spans="1:26" ht="15" hidden="1" thickBot="1">
      <c r="A9" s="36">
        <v>7</v>
      </c>
      <c r="B9" s="6" t="s">
        <v>21</v>
      </c>
      <c r="C9" s="6">
        <v>7</v>
      </c>
      <c r="D9" s="30">
        <v>1</v>
      </c>
      <c r="E9" s="6" t="s">
        <v>9</v>
      </c>
      <c r="F9" s="22" t="s">
        <v>88</v>
      </c>
      <c r="G9" s="5"/>
      <c r="H9" s="19"/>
      <c r="I9" s="6" t="s">
        <v>308</v>
      </c>
      <c r="J9" s="92">
        <v>1</v>
      </c>
      <c r="K9" s="153">
        <v>1</v>
      </c>
      <c r="L9" s="157">
        <f t="shared" si="0"/>
        <v>0</v>
      </c>
      <c r="M9" s="161">
        <f t="shared" si="1"/>
        <v>0</v>
      </c>
      <c r="N9" s="32"/>
      <c r="O9" s="37"/>
      <c r="P9" s="21"/>
      <c r="Q9" s="5"/>
      <c r="R9" s="6"/>
      <c r="S9" s="6"/>
      <c r="T9" s="22"/>
      <c r="U9" s="5"/>
      <c r="V9" s="6"/>
      <c r="W9" s="6"/>
      <c r="X9" s="6"/>
      <c r="Y9" s="6"/>
      <c r="Z9" s="22"/>
    </row>
    <row r="10" spans="1:26" ht="15" hidden="1" thickBot="1">
      <c r="A10" s="36">
        <v>8</v>
      </c>
      <c r="B10" s="6" t="s">
        <v>21</v>
      </c>
      <c r="C10" s="6">
        <v>8</v>
      </c>
      <c r="D10" s="30">
        <v>2</v>
      </c>
      <c r="E10" s="6" t="s">
        <v>0</v>
      </c>
      <c r="F10" s="22" t="s">
        <v>89</v>
      </c>
      <c r="G10" s="134">
        <v>42837</v>
      </c>
      <c r="H10" s="19">
        <v>42837</v>
      </c>
      <c r="I10" s="6"/>
      <c r="J10" s="92">
        <v>1</v>
      </c>
      <c r="K10" s="153">
        <v>1</v>
      </c>
      <c r="L10" s="157">
        <f t="shared" si="0"/>
        <v>14</v>
      </c>
      <c r="M10" s="161">
        <f t="shared" si="1"/>
        <v>0.7</v>
      </c>
      <c r="N10" s="32">
        <v>4</v>
      </c>
      <c r="O10" s="123">
        <v>42838</v>
      </c>
      <c r="P10" s="21"/>
      <c r="Q10" s="5">
        <v>2</v>
      </c>
      <c r="R10" s="6">
        <v>2</v>
      </c>
      <c r="S10" s="6">
        <v>2</v>
      </c>
      <c r="T10" s="22">
        <v>2</v>
      </c>
      <c r="U10" s="5">
        <v>2</v>
      </c>
      <c r="V10" s="6">
        <v>2</v>
      </c>
      <c r="W10" s="6">
        <v>0</v>
      </c>
      <c r="X10" s="6">
        <v>0</v>
      </c>
      <c r="Y10" s="6">
        <v>2</v>
      </c>
      <c r="Z10" s="22">
        <v>0</v>
      </c>
    </row>
    <row r="11" spans="1:26" ht="15" hidden="1" thickBot="1">
      <c r="A11" s="36">
        <v>9</v>
      </c>
      <c r="B11" s="6" t="s">
        <v>21</v>
      </c>
      <c r="C11" s="6">
        <v>9</v>
      </c>
      <c r="D11" s="30">
        <v>2</v>
      </c>
      <c r="E11" s="6" t="s">
        <v>10</v>
      </c>
      <c r="F11" s="22" t="s">
        <v>90</v>
      </c>
      <c r="G11" s="134"/>
      <c r="H11" s="19"/>
      <c r="I11" s="6" t="s">
        <v>307</v>
      </c>
      <c r="J11" s="92">
        <v>1</v>
      </c>
      <c r="K11" s="153">
        <v>1</v>
      </c>
      <c r="L11" s="157">
        <f t="shared" si="0"/>
        <v>0</v>
      </c>
      <c r="M11" s="161">
        <f t="shared" si="1"/>
        <v>0</v>
      </c>
      <c r="N11" s="32"/>
      <c r="O11" s="123"/>
      <c r="P11" s="21"/>
      <c r="Q11" s="5"/>
      <c r="R11" s="6"/>
      <c r="S11" s="6"/>
      <c r="T11" s="22"/>
      <c r="U11" s="5"/>
      <c r="V11" s="6"/>
      <c r="W11" s="6"/>
      <c r="X11" s="6"/>
      <c r="Y11" s="6"/>
      <c r="Z11" s="22"/>
    </row>
    <row r="12" spans="1:26" ht="15" hidden="1" thickBot="1">
      <c r="A12" s="36">
        <v>10</v>
      </c>
      <c r="B12" s="6" t="s">
        <v>21</v>
      </c>
      <c r="C12" s="6">
        <v>10</v>
      </c>
      <c r="D12" s="30">
        <v>1</v>
      </c>
      <c r="E12" s="6" t="s">
        <v>14</v>
      </c>
      <c r="F12" s="22" t="s">
        <v>91</v>
      </c>
      <c r="G12" s="53">
        <v>42821</v>
      </c>
      <c r="H12" s="19">
        <v>42821</v>
      </c>
      <c r="I12" s="6"/>
      <c r="J12" s="92">
        <v>1</v>
      </c>
      <c r="K12" s="153">
        <v>1</v>
      </c>
      <c r="L12" s="157">
        <f t="shared" si="0"/>
        <v>10</v>
      </c>
      <c r="M12" s="161">
        <f t="shared" si="1"/>
        <v>0.5</v>
      </c>
      <c r="N12" s="32" t="s">
        <v>31</v>
      </c>
      <c r="O12" s="37">
        <v>42828</v>
      </c>
      <c r="P12" s="21"/>
      <c r="Q12" s="5">
        <v>2</v>
      </c>
      <c r="R12" s="6">
        <v>2</v>
      </c>
      <c r="S12" s="6">
        <v>2</v>
      </c>
      <c r="T12" s="22">
        <v>2</v>
      </c>
      <c r="U12" s="5">
        <v>2</v>
      </c>
      <c r="V12" s="6">
        <v>0</v>
      </c>
      <c r="W12" s="6">
        <v>0</v>
      </c>
      <c r="X12" s="6">
        <v>0</v>
      </c>
      <c r="Y12" s="6">
        <v>0</v>
      </c>
      <c r="Z12" s="22">
        <v>0</v>
      </c>
    </row>
    <row r="13" spans="1:26" ht="15" hidden="1" thickBot="1">
      <c r="A13" s="36">
        <v>11</v>
      </c>
      <c r="B13" s="6" t="s">
        <v>21</v>
      </c>
      <c r="C13" s="6">
        <v>11</v>
      </c>
      <c r="D13" s="30">
        <v>1</v>
      </c>
      <c r="E13" s="6" t="s">
        <v>177</v>
      </c>
      <c r="F13" s="22" t="s">
        <v>44</v>
      </c>
      <c r="G13" s="53">
        <v>42821</v>
      </c>
      <c r="H13" s="19">
        <v>42821</v>
      </c>
      <c r="I13" s="6"/>
      <c r="J13" s="92">
        <v>1</v>
      </c>
      <c r="K13" s="153">
        <v>1</v>
      </c>
      <c r="L13" s="157">
        <f t="shared" si="0"/>
        <v>12</v>
      </c>
      <c r="M13" s="161">
        <f t="shared" si="1"/>
        <v>0.6</v>
      </c>
      <c r="N13" s="32" t="s">
        <v>32</v>
      </c>
      <c r="O13" s="37">
        <v>42828</v>
      </c>
      <c r="P13" s="21"/>
      <c r="Q13" s="5">
        <v>2</v>
      </c>
      <c r="R13" s="6">
        <v>2</v>
      </c>
      <c r="S13" s="6">
        <v>2</v>
      </c>
      <c r="T13" s="22">
        <v>2</v>
      </c>
      <c r="U13" s="5">
        <v>2</v>
      </c>
      <c r="V13" s="6">
        <v>2</v>
      </c>
      <c r="W13" s="6">
        <v>0</v>
      </c>
      <c r="X13" s="6">
        <v>0</v>
      </c>
      <c r="Y13" s="6">
        <v>0</v>
      </c>
      <c r="Z13" s="22">
        <v>0</v>
      </c>
    </row>
    <row r="14" spans="1:26" ht="15" hidden="1" thickBot="1">
      <c r="A14" s="36">
        <v>12</v>
      </c>
      <c r="B14" s="6" t="s">
        <v>21</v>
      </c>
      <c r="C14" s="6">
        <v>12</v>
      </c>
      <c r="D14" s="30">
        <v>2</v>
      </c>
      <c r="E14" s="6" t="s">
        <v>81</v>
      </c>
      <c r="F14" s="22" t="s">
        <v>92</v>
      </c>
      <c r="G14" s="134">
        <v>42837</v>
      </c>
      <c r="H14" s="19">
        <v>42837</v>
      </c>
      <c r="I14" s="6"/>
      <c r="J14" s="92">
        <v>1</v>
      </c>
      <c r="K14" s="153">
        <v>1</v>
      </c>
      <c r="L14" s="157">
        <f t="shared" si="0"/>
        <v>13</v>
      </c>
      <c r="M14" s="161">
        <f t="shared" si="1"/>
        <v>0.65</v>
      </c>
      <c r="N14" s="32" t="s">
        <v>30</v>
      </c>
      <c r="O14" s="123">
        <v>42838</v>
      </c>
      <c r="P14" s="21"/>
      <c r="Q14" s="5">
        <v>2</v>
      </c>
      <c r="R14" s="6">
        <v>2</v>
      </c>
      <c r="S14" s="6">
        <v>2</v>
      </c>
      <c r="T14" s="22">
        <v>2</v>
      </c>
      <c r="U14" s="5">
        <v>2</v>
      </c>
      <c r="V14" s="6">
        <v>2</v>
      </c>
      <c r="W14" s="6">
        <v>0</v>
      </c>
      <c r="X14" s="6">
        <v>0</v>
      </c>
      <c r="Y14" s="6">
        <v>1</v>
      </c>
      <c r="Z14" s="22">
        <v>0</v>
      </c>
    </row>
    <row r="15" spans="1:26" ht="15" hidden="1" thickBot="1">
      <c r="A15" s="36">
        <v>13</v>
      </c>
      <c r="B15" s="6" t="s">
        <v>21</v>
      </c>
      <c r="C15" s="6">
        <v>13</v>
      </c>
      <c r="D15" s="30">
        <v>2</v>
      </c>
      <c r="E15" s="6" t="s">
        <v>93</v>
      </c>
      <c r="F15" s="22" t="s">
        <v>41</v>
      </c>
      <c r="G15" s="134">
        <v>42837</v>
      </c>
      <c r="H15" s="19">
        <v>42837</v>
      </c>
      <c r="I15" s="6"/>
      <c r="J15" s="92">
        <v>1</v>
      </c>
      <c r="K15" s="153">
        <v>1</v>
      </c>
      <c r="L15" s="157">
        <f t="shared" si="0"/>
        <v>11</v>
      </c>
      <c r="M15" s="161">
        <f t="shared" si="1"/>
        <v>0.55000000000000004</v>
      </c>
      <c r="N15" s="32">
        <v>3</v>
      </c>
      <c r="O15" s="123">
        <v>42838</v>
      </c>
      <c r="P15" s="21"/>
      <c r="Q15" s="5">
        <v>2</v>
      </c>
      <c r="R15" s="6">
        <v>2</v>
      </c>
      <c r="S15" s="6">
        <v>2</v>
      </c>
      <c r="T15" s="22">
        <v>2</v>
      </c>
      <c r="U15" s="5">
        <v>2</v>
      </c>
      <c r="V15" s="6">
        <v>0</v>
      </c>
      <c r="W15" s="6">
        <v>0</v>
      </c>
      <c r="X15" s="6">
        <v>0</v>
      </c>
      <c r="Y15" s="6">
        <v>1</v>
      </c>
      <c r="Z15" s="22">
        <v>0</v>
      </c>
    </row>
    <row r="16" spans="1:26" ht="15" hidden="1" thickBot="1">
      <c r="A16" s="36">
        <v>14</v>
      </c>
      <c r="B16" s="6" t="s">
        <v>21</v>
      </c>
      <c r="C16" s="6">
        <v>14</v>
      </c>
      <c r="D16" s="30">
        <v>1</v>
      </c>
      <c r="E16" s="6" t="s">
        <v>11</v>
      </c>
      <c r="F16" s="22" t="s">
        <v>94</v>
      </c>
      <c r="G16" s="53">
        <v>42821</v>
      </c>
      <c r="H16" s="19">
        <v>42821</v>
      </c>
      <c r="I16" s="172"/>
      <c r="J16" s="92">
        <v>1</v>
      </c>
      <c r="K16" s="153">
        <v>1</v>
      </c>
      <c r="L16" s="157">
        <f t="shared" si="0"/>
        <v>15</v>
      </c>
      <c r="M16" s="161">
        <f t="shared" si="1"/>
        <v>0.75</v>
      </c>
      <c r="N16" s="32" t="s">
        <v>34</v>
      </c>
      <c r="O16" s="37">
        <v>42828</v>
      </c>
      <c r="P16" s="21"/>
      <c r="Q16" s="5">
        <v>3</v>
      </c>
      <c r="R16" s="6">
        <v>2</v>
      </c>
      <c r="S16" s="6">
        <v>3</v>
      </c>
      <c r="T16" s="22">
        <v>2</v>
      </c>
      <c r="U16" s="5">
        <v>2</v>
      </c>
      <c r="V16" s="6">
        <v>0</v>
      </c>
      <c r="W16" s="6">
        <v>1</v>
      </c>
      <c r="X16" s="6">
        <v>0</v>
      </c>
      <c r="Y16" s="6">
        <v>2</v>
      </c>
      <c r="Z16" s="22">
        <v>0</v>
      </c>
    </row>
    <row r="17" spans="1:26" ht="15" hidden="1" thickBot="1">
      <c r="A17" s="36">
        <v>15</v>
      </c>
      <c r="B17" s="6" t="s">
        <v>21</v>
      </c>
      <c r="C17" s="6">
        <v>15</v>
      </c>
      <c r="D17" s="30">
        <v>2</v>
      </c>
      <c r="E17" s="6" t="s">
        <v>79</v>
      </c>
      <c r="F17" s="22" t="s">
        <v>95</v>
      </c>
      <c r="G17" s="134">
        <v>42837</v>
      </c>
      <c r="H17" s="19">
        <v>42837</v>
      </c>
      <c r="I17" s="6"/>
      <c r="J17" s="92">
        <v>1</v>
      </c>
      <c r="K17" s="153">
        <v>1</v>
      </c>
      <c r="L17" s="157">
        <f t="shared" si="0"/>
        <v>16</v>
      </c>
      <c r="M17" s="161">
        <f t="shared" si="1"/>
        <v>0.8</v>
      </c>
      <c r="N17" s="32" t="s">
        <v>33</v>
      </c>
      <c r="O17" s="37">
        <v>42838</v>
      </c>
      <c r="P17" s="21"/>
      <c r="Q17" s="5">
        <v>2</v>
      </c>
      <c r="R17" s="6">
        <v>2</v>
      </c>
      <c r="S17" s="6">
        <v>2</v>
      </c>
      <c r="T17" s="22">
        <v>2</v>
      </c>
      <c r="U17" s="5">
        <v>2</v>
      </c>
      <c r="V17" s="6">
        <v>2</v>
      </c>
      <c r="W17" s="6">
        <v>1</v>
      </c>
      <c r="X17" s="6">
        <v>0</v>
      </c>
      <c r="Y17" s="6">
        <v>1</v>
      </c>
      <c r="Z17" s="22">
        <v>2</v>
      </c>
    </row>
    <row r="18" spans="1:26" ht="15" hidden="1" thickBot="1">
      <c r="A18" s="36">
        <v>16</v>
      </c>
      <c r="B18" s="6" t="s">
        <v>21</v>
      </c>
      <c r="C18" s="6">
        <v>16</v>
      </c>
      <c r="D18" s="30">
        <v>1</v>
      </c>
      <c r="E18" s="6" t="s">
        <v>178</v>
      </c>
      <c r="F18" s="22" t="s">
        <v>96</v>
      </c>
      <c r="G18" s="53">
        <v>42821</v>
      </c>
      <c r="H18" s="19">
        <v>42821</v>
      </c>
      <c r="I18" s="6"/>
      <c r="J18" s="92">
        <v>1</v>
      </c>
      <c r="K18" s="153">
        <v>1</v>
      </c>
      <c r="L18" s="157">
        <f t="shared" si="0"/>
        <v>10</v>
      </c>
      <c r="M18" s="161">
        <f t="shared" si="1"/>
        <v>0.5</v>
      </c>
      <c r="N18" s="32" t="s">
        <v>31</v>
      </c>
      <c r="O18" s="37">
        <v>42828</v>
      </c>
      <c r="P18" s="21"/>
      <c r="Q18" s="5">
        <v>2</v>
      </c>
      <c r="R18" s="6">
        <v>2</v>
      </c>
      <c r="S18" s="6">
        <v>0</v>
      </c>
      <c r="T18" s="22">
        <v>0</v>
      </c>
      <c r="U18" s="5">
        <v>2</v>
      </c>
      <c r="V18" s="6">
        <v>2</v>
      </c>
      <c r="W18" s="6">
        <v>0</v>
      </c>
      <c r="X18" s="6">
        <v>0</v>
      </c>
      <c r="Y18" s="6">
        <v>2</v>
      </c>
      <c r="Z18" s="22">
        <v>0</v>
      </c>
    </row>
    <row r="19" spans="1:26" ht="15" hidden="1" thickBot="1">
      <c r="A19" s="36">
        <v>17</v>
      </c>
      <c r="B19" s="6" t="s">
        <v>21</v>
      </c>
      <c r="C19" s="6">
        <v>17</v>
      </c>
      <c r="D19" s="30">
        <v>2</v>
      </c>
      <c r="E19" s="6" t="s">
        <v>67</v>
      </c>
      <c r="F19" s="22" t="s">
        <v>20</v>
      </c>
      <c r="G19" s="134"/>
      <c r="H19" s="19"/>
      <c r="I19" s="6" t="s">
        <v>307</v>
      </c>
      <c r="J19" s="92">
        <v>1</v>
      </c>
      <c r="K19" s="153">
        <v>1</v>
      </c>
      <c r="L19" s="157">
        <f t="shared" si="0"/>
        <v>0</v>
      </c>
      <c r="M19" s="161">
        <f t="shared" si="1"/>
        <v>0</v>
      </c>
      <c r="N19" s="32"/>
      <c r="O19" s="37"/>
      <c r="P19" s="21"/>
      <c r="Q19" s="5"/>
      <c r="R19" s="6"/>
      <c r="S19" s="6"/>
      <c r="T19" s="22"/>
      <c r="U19" s="5"/>
      <c r="V19" s="6"/>
      <c r="W19" s="6"/>
      <c r="X19" s="6"/>
      <c r="Y19" s="6"/>
      <c r="Z19" s="22"/>
    </row>
    <row r="20" spans="1:26" ht="15" hidden="1" thickBot="1">
      <c r="A20" s="36">
        <v>18</v>
      </c>
      <c r="B20" s="6" t="s">
        <v>21</v>
      </c>
      <c r="C20" s="6">
        <v>18</v>
      </c>
      <c r="D20" s="30">
        <v>1</v>
      </c>
      <c r="E20" s="6" t="s">
        <v>2</v>
      </c>
      <c r="F20" s="22" t="s">
        <v>97</v>
      </c>
      <c r="G20" s="53">
        <v>42821</v>
      </c>
      <c r="H20" s="19">
        <v>42821</v>
      </c>
      <c r="I20" s="6"/>
      <c r="J20" s="92">
        <v>1</v>
      </c>
      <c r="K20" s="153">
        <v>1</v>
      </c>
      <c r="L20" s="157">
        <f t="shared" si="0"/>
        <v>9</v>
      </c>
      <c r="M20" s="161">
        <f t="shared" si="1"/>
        <v>0.45</v>
      </c>
      <c r="N20" s="32" t="s">
        <v>35</v>
      </c>
      <c r="O20" s="37">
        <v>42828</v>
      </c>
      <c r="P20" s="21"/>
      <c r="Q20" s="5">
        <v>2</v>
      </c>
      <c r="R20" s="6">
        <v>2</v>
      </c>
      <c r="S20" s="6">
        <v>2</v>
      </c>
      <c r="T20" s="22">
        <v>0</v>
      </c>
      <c r="U20" s="5">
        <v>2</v>
      </c>
      <c r="V20" s="6">
        <v>0</v>
      </c>
      <c r="W20" s="6">
        <v>0</v>
      </c>
      <c r="X20" s="6">
        <v>0</v>
      </c>
      <c r="Y20" s="6">
        <v>1</v>
      </c>
      <c r="Z20" s="22">
        <v>0</v>
      </c>
    </row>
    <row r="21" spans="1:26" ht="15" hidden="1" thickBot="1">
      <c r="A21" s="36">
        <v>19</v>
      </c>
      <c r="B21" s="6" t="s">
        <v>21</v>
      </c>
      <c r="C21" s="6">
        <v>19</v>
      </c>
      <c r="D21" s="30">
        <v>1</v>
      </c>
      <c r="E21" s="6" t="s">
        <v>81</v>
      </c>
      <c r="F21" s="22" t="s">
        <v>98</v>
      </c>
      <c r="G21" s="53">
        <v>42821</v>
      </c>
      <c r="H21" s="19">
        <v>42821</v>
      </c>
      <c r="I21" s="6"/>
      <c r="J21" s="92">
        <v>1</v>
      </c>
      <c r="K21" s="153">
        <v>1</v>
      </c>
      <c r="L21" s="157">
        <f t="shared" si="0"/>
        <v>9</v>
      </c>
      <c r="M21" s="161">
        <f t="shared" si="1"/>
        <v>0.45</v>
      </c>
      <c r="N21" s="32" t="s">
        <v>35</v>
      </c>
      <c r="O21" s="37">
        <v>42828</v>
      </c>
      <c r="P21" s="21"/>
      <c r="Q21" s="5">
        <v>2</v>
      </c>
      <c r="R21" s="6">
        <v>2</v>
      </c>
      <c r="S21" s="6">
        <v>2</v>
      </c>
      <c r="T21" s="22">
        <v>0</v>
      </c>
      <c r="U21" s="5">
        <v>2</v>
      </c>
      <c r="V21" s="6">
        <v>0</v>
      </c>
      <c r="W21" s="6">
        <v>0</v>
      </c>
      <c r="X21" s="6">
        <v>0</v>
      </c>
      <c r="Y21" s="6">
        <v>1</v>
      </c>
      <c r="Z21" s="22">
        <v>0</v>
      </c>
    </row>
    <row r="22" spans="1:26" ht="15" hidden="1" thickBot="1">
      <c r="A22" s="36">
        <v>20</v>
      </c>
      <c r="B22" s="30" t="s">
        <v>21</v>
      </c>
      <c r="C22" s="6">
        <v>20</v>
      </c>
      <c r="D22" s="30">
        <v>1</v>
      </c>
      <c r="E22" s="30" t="s">
        <v>16</v>
      </c>
      <c r="F22" s="40" t="s">
        <v>57</v>
      </c>
      <c r="G22" s="53">
        <v>42821</v>
      </c>
      <c r="H22" s="19">
        <v>42821</v>
      </c>
      <c r="I22" s="6"/>
      <c r="J22" s="92">
        <v>1</v>
      </c>
      <c r="K22" s="153">
        <v>1</v>
      </c>
      <c r="L22" s="157">
        <f t="shared" si="0"/>
        <v>11</v>
      </c>
      <c r="M22" s="161">
        <f t="shared" si="1"/>
        <v>0.55000000000000004</v>
      </c>
      <c r="N22" s="32">
        <v>3</v>
      </c>
      <c r="O22" s="37">
        <v>42828</v>
      </c>
      <c r="P22" s="21"/>
      <c r="Q22" s="5">
        <v>2</v>
      </c>
      <c r="R22" s="6">
        <v>2</v>
      </c>
      <c r="S22" s="6">
        <v>2</v>
      </c>
      <c r="T22" s="22">
        <v>0</v>
      </c>
      <c r="U22" s="5">
        <v>2</v>
      </c>
      <c r="V22" s="6">
        <v>2</v>
      </c>
      <c r="W22" s="6">
        <v>0</v>
      </c>
      <c r="X22" s="6">
        <v>0</v>
      </c>
      <c r="Y22" s="6">
        <v>1</v>
      </c>
      <c r="Z22" s="22">
        <v>0</v>
      </c>
    </row>
    <row r="23" spans="1:26" ht="15" hidden="1" thickBot="1">
      <c r="A23" s="36">
        <v>21</v>
      </c>
      <c r="B23" s="30" t="s">
        <v>21</v>
      </c>
      <c r="C23" s="6">
        <v>21</v>
      </c>
      <c r="D23" s="30">
        <v>2</v>
      </c>
      <c r="E23" s="30" t="s">
        <v>65</v>
      </c>
      <c r="F23" s="40" t="s">
        <v>99</v>
      </c>
      <c r="G23" s="134">
        <v>42837</v>
      </c>
      <c r="H23" s="19">
        <v>42837</v>
      </c>
      <c r="I23" s="6"/>
      <c r="J23" s="92">
        <v>1</v>
      </c>
      <c r="K23" s="153">
        <v>1</v>
      </c>
      <c r="L23" s="157">
        <f t="shared" si="0"/>
        <v>14</v>
      </c>
      <c r="M23" s="161">
        <f t="shared" si="1"/>
        <v>0.7</v>
      </c>
      <c r="N23" s="32">
        <v>4</v>
      </c>
      <c r="O23" s="123">
        <v>42838</v>
      </c>
      <c r="P23" s="21"/>
      <c r="Q23" s="5">
        <v>2</v>
      </c>
      <c r="R23" s="6">
        <v>2</v>
      </c>
      <c r="S23" s="6">
        <v>2</v>
      </c>
      <c r="T23" s="22">
        <v>2</v>
      </c>
      <c r="U23" s="5">
        <v>2</v>
      </c>
      <c r="V23" s="6">
        <v>2</v>
      </c>
      <c r="W23" s="6">
        <v>0</v>
      </c>
      <c r="X23" s="6">
        <v>0</v>
      </c>
      <c r="Y23" s="6">
        <v>2</v>
      </c>
      <c r="Z23" s="22">
        <v>0</v>
      </c>
    </row>
    <row r="24" spans="1:26" ht="15" hidden="1" thickBot="1">
      <c r="A24" s="36">
        <v>22</v>
      </c>
      <c r="B24" s="30" t="s">
        <v>21</v>
      </c>
      <c r="C24" s="6">
        <v>22</v>
      </c>
      <c r="D24" s="30">
        <v>1</v>
      </c>
      <c r="E24" s="30" t="s">
        <v>100</v>
      </c>
      <c r="F24" s="22" t="s">
        <v>101</v>
      </c>
      <c r="G24" s="53">
        <v>42821</v>
      </c>
      <c r="H24" s="19">
        <v>42821</v>
      </c>
      <c r="I24" s="6"/>
      <c r="J24" s="92">
        <v>1</v>
      </c>
      <c r="K24" s="153">
        <v>1</v>
      </c>
      <c r="L24" s="157">
        <f t="shared" si="0"/>
        <v>12</v>
      </c>
      <c r="M24" s="161">
        <f t="shared" si="1"/>
        <v>0.6</v>
      </c>
      <c r="N24" s="32" t="s">
        <v>32</v>
      </c>
      <c r="O24" s="37">
        <v>42828</v>
      </c>
      <c r="P24" s="21"/>
      <c r="Q24" s="5">
        <v>2</v>
      </c>
      <c r="R24" s="6">
        <v>2</v>
      </c>
      <c r="S24" s="6">
        <v>2</v>
      </c>
      <c r="T24" s="22">
        <v>2</v>
      </c>
      <c r="U24" s="5">
        <v>2</v>
      </c>
      <c r="V24" s="6">
        <v>2</v>
      </c>
      <c r="W24" s="6">
        <v>0</v>
      </c>
      <c r="X24" s="6">
        <v>0</v>
      </c>
      <c r="Y24" s="6">
        <v>0</v>
      </c>
      <c r="Z24" s="22">
        <v>0</v>
      </c>
    </row>
    <row r="25" spans="1:26" ht="15" hidden="1" thickBot="1">
      <c r="A25" s="36">
        <v>23</v>
      </c>
      <c r="B25" s="30" t="s">
        <v>21</v>
      </c>
      <c r="C25" s="6">
        <v>23</v>
      </c>
      <c r="D25" s="30">
        <v>2</v>
      </c>
      <c r="E25" s="30" t="s">
        <v>64</v>
      </c>
      <c r="F25" s="40" t="s">
        <v>1</v>
      </c>
      <c r="G25" s="134">
        <v>42837</v>
      </c>
      <c r="H25" s="19">
        <v>42837</v>
      </c>
      <c r="I25" s="6"/>
      <c r="J25" s="92">
        <v>1</v>
      </c>
      <c r="K25" s="153">
        <v>1</v>
      </c>
      <c r="L25" s="157">
        <f t="shared" si="0"/>
        <v>14</v>
      </c>
      <c r="M25" s="161">
        <f t="shared" si="1"/>
        <v>0.7</v>
      </c>
      <c r="N25" s="32">
        <v>4</v>
      </c>
      <c r="O25" s="37">
        <v>42838</v>
      </c>
      <c r="P25" s="21"/>
      <c r="Q25" s="5">
        <v>2</v>
      </c>
      <c r="R25" s="6">
        <v>2</v>
      </c>
      <c r="S25" s="6">
        <v>2</v>
      </c>
      <c r="T25" s="22">
        <v>2</v>
      </c>
      <c r="U25" s="5">
        <v>2</v>
      </c>
      <c r="V25" s="6">
        <v>1</v>
      </c>
      <c r="W25" s="6">
        <v>0</v>
      </c>
      <c r="X25" s="6">
        <v>0</v>
      </c>
      <c r="Y25" s="6">
        <v>1</v>
      </c>
      <c r="Z25" s="22">
        <v>2</v>
      </c>
    </row>
    <row r="26" spans="1:26" ht="15" hidden="1" thickBot="1">
      <c r="A26" s="36">
        <v>24</v>
      </c>
      <c r="B26" s="30" t="s">
        <v>21</v>
      </c>
      <c r="C26" s="6">
        <v>24</v>
      </c>
      <c r="D26" s="30">
        <v>2</v>
      </c>
      <c r="E26" s="30" t="s">
        <v>102</v>
      </c>
      <c r="F26" s="22" t="s">
        <v>103</v>
      </c>
      <c r="G26" s="134">
        <v>42837</v>
      </c>
      <c r="H26" s="19">
        <v>42837</v>
      </c>
      <c r="I26" s="6"/>
      <c r="J26" s="92">
        <v>1</v>
      </c>
      <c r="K26" s="153">
        <v>1</v>
      </c>
      <c r="L26" s="157">
        <f t="shared" si="0"/>
        <v>13</v>
      </c>
      <c r="M26" s="161">
        <f t="shared" si="1"/>
        <v>0.65</v>
      </c>
      <c r="N26" s="32" t="s">
        <v>30</v>
      </c>
      <c r="O26" s="123">
        <v>42838</v>
      </c>
      <c r="P26" s="21"/>
      <c r="Q26" s="5">
        <v>2</v>
      </c>
      <c r="R26" s="6">
        <v>2</v>
      </c>
      <c r="S26" s="6">
        <v>2</v>
      </c>
      <c r="T26" s="22">
        <v>2</v>
      </c>
      <c r="U26" s="5">
        <v>2</v>
      </c>
      <c r="V26" s="6">
        <v>2</v>
      </c>
      <c r="W26" s="6">
        <v>0</v>
      </c>
      <c r="X26" s="6">
        <v>0</v>
      </c>
      <c r="Y26" s="6">
        <v>1</v>
      </c>
      <c r="Z26" s="22">
        <v>0</v>
      </c>
    </row>
    <row r="27" spans="1:26" ht="15" hidden="1" thickBot="1">
      <c r="A27" s="36">
        <v>25</v>
      </c>
      <c r="B27" s="6" t="s">
        <v>21</v>
      </c>
      <c r="C27" s="6">
        <v>25</v>
      </c>
      <c r="D27" s="30">
        <v>2</v>
      </c>
      <c r="E27" s="6" t="s">
        <v>175</v>
      </c>
      <c r="F27" s="22" t="s">
        <v>104</v>
      </c>
      <c r="G27" s="134">
        <v>42837</v>
      </c>
      <c r="H27" s="19">
        <v>42837</v>
      </c>
      <c r="I27" s="6"/>
      <c r="J27" s="92">
        <v>1</v>
      </c>
      <c r="K27" s="153">
        <v>1</v>
      </c>
      <c r="L27" s="157">
        <f t="shared" si="0"/>
        <v>13</v>
      </c>
      <c r="M27" s="161">
        <f t="shared" si="1"/>
        <v>0.65</v>
      </c>
      <c r="N27" s="32" t="s">
        <v>30</v>
      </c>
      <c r="O27" s="123">
        <v>42838</v>
      </c>
      <c r="P27" s="21"/>
      <c r="Q27" s="5">
        <v>2</v>
      </c>
      <c r="R27" s="6">
        <v>2</v>
      </c>
      <c r="S27" s="6">
        <v>2</v>
      </c>
      <c r="T27" s="22">
        <v>2</v>
      </c>
      <c r="U27" s="5">
        <v>2</v>
      </c>
      <c r="V27" s="6">
        <v>2</v>
      </c>
      <c r="W27" s="6">
        <v>0</v>
      </c>
      <c r="X27" s="6">
        <v>0</v>
      </c>
      <c r="Y27" s="6">
        <v>1</v>
      </c>
      <c r="Z27" s="22">
        <v>0</v>
      </c>
    </row>
    <row r="28" spans="1:26" ht="15" hidden="1" thickBot="1">
      <c r="A28" s="36">
        <v>79</v>
      </c>
      <c r="B28" s="30" t="s">
        <v>21</v>
      </c>
      <c r="C28" s="6">
        <v>26</v>
      </c>
      <c r="D28" s="30">
        <v>1</v>
      </c>
      <c r="E28" s="30" t="s">
        <v>47</v>
      </c>
      <c r="F28" s="40" t="s">
        <v>49</v>
      </c>
      <c r="G28" s="53">
        <v>42821</v>
      </c>
      <c r="H28" s="19">
        <v>42821</v>
      </c>
      <c r="I28" s="6"/>
      <c r="J28" s="92">
        <v>1</v>
      </c>
      <c r="K28" s="153">
        <v>1</v>
      </c>
      <c r="L28" s="157">
        <f t="shared" si="0"/>
        <v>8</v>
      </c>
      <c r="M28" s="161">
        <f t="shared" si="1"/>
        <v>0.4</v>
      </c>
      <c r="N28" s="32">
        <v>2</v>
      </c>
      <c r="O28" s="37">
        <v>42828</v>
      </c>
      <c r="P28" s="21"/>
      <c r="Q28" s="5">
        <v>2</v>
      </c>
      <c r="R28" s="6">
        <v>2</v>
      </c>
      <c r="S28" s="6">
        <v>2</v>
      </c>
      <c r="T28" s="22">
        <v>0</v>
      </c>
      <c r="U28" s="5">
        <v>2</v>
      </c>
      <c r="V28" s="6">
        <v>0</v>
      </c>
      <c r="W28" s="6">
        <v>0</v>
      </c>
      <c r="X28" s="6">
        <v>0</v>
      </c>
      <c r="Y28" s="6">
        <v>0</v>
      </c>
      <c r="Z28" s="22">
        <v>0</v>
      </c>
    </row>
    <row r="29" spans="1:26" ht="15" hidden="1" thickBot="1">
      <c r="A29" s="36">
        <v>27</v>
      </c>
      <c r="B29" s="30" t="s">
        <v>21</v>
      </c>
      <c r="C29" s="6">
        <v>28</v>
      </c>
      <c r="D29" s="30">
        <v>2</v>
      </c>
      <c r="E29" s="30" t="s">
        <v>48</v>
      </c>
      <c r="F29" s="40" t="s">
        <v>105</v>
      </c>
      <c r="G29" s="134"/>
      <c r="H29" s="19"/>
      <c r="I29" s="6" t="s">
        <v>307</v>
      </c>
      <c r="J29" s="92">
        <v>1</v>
      </c>
      <c r="K29" s="153">
        <v>1</v>
      </c>
      <c r="L29" s="157">
        <f t="shared" si="0"/>
        <v>0</v>
      </c>
      <c r="M29" s="161">
        <f t="shared" si="1"/>
        <v>0</v>
      </c>
      <c r="N29" s="32"/>
      <c r="O29" s="37"/>
      <c r="P29" s="21"/>
      <c r="Q29" s="5"/>
      <c r="R29" s="6"/>
      <c r="S29" s="6"/>
      <c r="T29" s="22"/>
      <c r="U29" s="5"/>
      <c r="V29" s="6"/>
      <c r="W29" s="6"/>
      <c r="X29" s="6"/>
      <c r="Y29" s="6"/>
      <c r="Z29" s="22"/>
    </row>
    <row r="30" spans="1:26" ht="15" hidden="1" thickBot="1">
      <c r="A30" s="36">
        <v>28</v>
      </c>
      <c r="B30" s="30" t="s">
        <v>21</v>
      </c>
      <c r="C30" s="6">
        <v>29</v>
      </c>
      <c r="D30" s="30">
        <v>1</v>
      </c>
      <c r="E30" s="30" t="s">
        <v>174</v>
      </c>
      <c r="F30" s="40" t="s">
        <v>106</v>
      </c>
      <c r="G30" s="53">
        <v>42821</v>
      </c>
      <c r="H30" s="19">
        <v>42821</v>
      </c>
      <c r="I30" s="6"/>
      <c r="J30" s="92">
        <v>1</v>
      </c>
      <c r="K30" s="153">
        <v>1</v>
      </c>
      <c r="L30" s="157">
        <f t="shared" si="0"/>
        <v>12</v>
      </c>
      <c r="M30" s="161">
        <f t="shared" si="1"/>
        <v>0.6</v>
      </c>
      <c r="N30" s="32" t="s">
        <v>32</v>
      </c>
      <c r="O30" s="37">
        <v>42828</v>
      </c>
      <c r="P30" s="21"/>
      <c r="Q30" s="5">
        <v>2</v>
      </c>
      <c r="R30" s="6">
        <v>2</v>
      </c>
      <c r="S30" s="6">
        <v>2</v>
      </c>
      <c r="T30" s="22">
        <v>2</v>
      </c>
      <c r="U30" s="5">
        <v>2</v>
      </c>
      <c r="V30" s="6">
        <v>2</v>
      </c>
      <c r="W30" s="6">
        <v>0</v>
      </c>
      <c r="X30" s="6">
        <v>0</v>
      </c>
      <c r="Y30" s="6">
        <v>0</v>
      </c>
      <c r="Z30" s="22">
        <v>0</v>
      </c>
    </row>
    <row r="31" spans="1:26" ht="15" hidden="1" thickBot="1">
      <c r="A31" s="36">
        <v>29</v>
      </c>
      <c r="B31" s="30" t="s">
        <v>21</v>
      </c>
      <c r="C31" s="6">
        <v>30</v>
      </c>
      <c r="D31" s="30">
        <v>2</v>
      </c>
      <c r="E31" s="30" t="s">
        <v>18</v>
      </c>
      <c r="F31" s="40" t="s">
        <v>107</v>
      </c>
      <c r="G31" s="134">
        <v>42837</v>
      </c>
      <c r="H31" s="19">
        <v>42837</v>
      </c>
      <c r="I31" s="6"/>
      <c r="J31" s="92">
        <v>1</v>
      </c>
      <c r="K31" s="153">
        <v>1</v>
      </c>
      <c r="L31" s="157">
        <f t="shared" si="0"/>
        <v>16</v>
      </c>
      <c r="M31" s="161">
        <f t="shared" si="1"/>
        <v>0.8</v>
      </c>
      <c r="N31" s="32" t="s">
        <v>33</v>
      </c>
      <c r="O31" s="37">
        <v>42838</v>
      </c>
      <c r="P31" s="21"/>
      <c r="Q31" s="5">
        <v>2</v>
      </c>
      <c r="R31" s="6">
        <v>2</v>
      </c>
      <c r="S31" s="6">
        <v>2</v>
      </c>
      <c r="T31" s="22">
        <v>2</v>
      </c>
      <c r="U31" s="5">
        <v>2</v>
      </c>
      <c r="V31" s="6">
        <v>2</v>
      </c>
      <c r="W31" s="6">
        <v>1</v>
      </c>
      <c r="X31" s="6">
        <v>0</v>
      </c>
      <c r="Y31" s="6">
        <v>1</v>
      </c>
      <c r="Z31" s="22">
        <v>2</v>
      </c>
    </row>
    <row r="32" spans="1:26" ht="15" hidden="1" thickBot="1">
      <c r="A32" s="36">
        <v>30</v>
      </c>
      <c r="B32" s="30" t="s">
        <v>21</v>
      </c>
      <c r="C32" s="6">
        <v>31</v>
      </c>
      <c r="D32" s="30">
        <v>1</v>
      </c>
      <c r="E32" s="30" t="s">
        <v>173</v>
      </c>
      <c r="F32" s="40" t="s">
        <v>108</v>
      </c>
      <c r="G32" s="53">
        <v>42821</v>
      </c>
      <c r="H32" s="19">
        <v>42821</v>
      </c>
      <c r="I32" s="6"/>
      <c r="J32" s="92">
        <v>1</v>
      </c>
      <c r="K32" s="153">
        <v>1</v>
      </c>
      <c r="L32" s="157">
        <f t="shared" si="0"/>
        <v>10</v>
      </c>
      <c r="M32" s="161">
        <f t="shared" si="1"/>
        <v>0.5</v>
      </c>
      <c r="N32" s="32" t="s">
        <v>31</v>
      </c>
      <c r="O32" s="37">
        <v>42828</v>
      </c>
      <c r="P32" s="21"/>
      <c r="Q32" s="5">
        <v>2</v>
      </c>
      <c r="R32" s="6">
        <v>2</v>
      </c>
      <c r="S32" s="6">
        <v>2</v>
      </c>
      <c r="T32" s="22">
        <v>2</v>
      </c>
      <c r="U32" s="5">
        <v>2</v>
      </c>
      <c r="V32" s="6">
        <v>0</v>
      </c>
      <c r="W32" s="6">
        <v>0</v>
      </c>
      <c r="X32" s="6">
        <v>0</v>
      </c>
      <c r="Y32" s="6">
        <v>0</v>
      </c>
      <c r="Z32" s="22">
        <v>0</v>
      </c>
    </row>
    <row r="33" spans="1:26" ht="15" hidden="1" thickBot="1">
      <c r="A33" s="36">
        <v>31</v>
      </c>
      <c r="B33" s="30" t="s">
        <v>21</v>
      </c>
      <c r="C33" s="6">
        <v>32</v>
      </c>
      <c r="D33" s="30">
        <v>1</v>
      </c>
      <c r="E33" s="30" t="s">
        <v>80</v>
      </c>
      <c r="F33" s="40" t="s">
        <v>109</v>
      </c>
      <c r="G33" s="53">
        <v>42821</v>
      </c>
      <c r="H33" s="19">
        <v>42821</v>
      </c>
      <c r="I33" s="172"/>
      <c r="J33" s="92">
        <v>1</v>
      </c>
      <c r="K33" s="153">
        <v>1</v>
      </c>
      <c r="L33" s="157">
        <f t="shared" si="0"/>
        <v>15</v>
      </c>
      <c r="M33" s="161">
        <f t="shared" si="1"/>
        <v>0.75</v>
      </c>
      <c r="N33" s="32" t="s">
        <v>34</v>
      </c>
      <c r="O33" s="37">
        <v>42828</v>
      </c>
      <c r="P33" s="21"/>
      <c r="Q33" s="5">
        <v>3</v>
      </c>
      <c r="R33" s="6">
        <v>2</v>
      </c>
      <c r="S33" s="6">
        <v>3</v>
      </c>
      <c r="T33" s="22">
        <v>2</v>
      </c>
      <c r="U33" s="5">
        <v>2</v>
      </c>
      <c r="V33" s="6">
        <v>0</v>
      </c>
      <c r="W33" s="6">
        <v>1</v>
      </c>
      <c r="X33" s="6">
        <v>0</v>
      </c>
      <c r="Y33" s="6">
        <v>2</v>
      </c>
      <c r="Z33" s="22">
        <v>0</v>
      </c>
    </row>
    <row r="34" spans="1:26" ht="15" hidden="1" thickBot="1">
      <c r="A34" s="38">
        <v>32</v>
      </c>
      <c r="B34" s="31" t="s">
        <v>21</v>
      </c>
      <c r="C34" s="24">
        <v>33</v>
      </c>
      <c r="D34" s="31">
        <v>1</v>
      </c>
      <c r="E34" s="31" t="s">
        <v>176</v>
      </c>
      <c r="F34" s="41" t="s">
        <v>110</v>
      </c>
      <c r="G34" s="54">
        <v>42821</v>
      </c>
      <c r="H34" s="25">
        <v>42821</v>
      </c>
      <c r="I34" s="24"/>
      <c r="J34" s="93">
        <v>1</v>
      </c>
      <c r="K34" s="154">
        <v>1</v>
      </c>
      <c r="L34" s="158">
        <f t="shared" si="0"/>
        <v>10</v>
      </c>
      <c r="M34" s="162">
        <f t="shared" si="1"/>
        <v>0.5</v>
      </c>
      <c r="N34" s="51" t="s">
        <v>31</v>
      </c>
      <c r="O34" s="99">
        <v>42828</v>
      </c>
      <c r="P34" s="27"/>
      <c r="Q34" s="23">
        <v>2</v>
      </c>
      <c r="R34" s="24">
        <v>2</v>
      </c>
      <c r="S34" s="24">
        <v>0</v>
      </c>
      <c r="T34" s="28">
        <v>0</v>
      </c>
      <c r="U34" s="23">
        <v>2</v>
      </c>
      <c r="V34" s="24">
        <v>2</v>
      </c>
      <c r="W34" s="24">
        <v>0</v>
      </c>
      <c r="X34" s="24">
        <v>0</v>
      </c>
      <c r="Y34" s="24">
        <v>2</v>
      </c>
      <c r="Z34" s="28">
        <v>0</v>
      </c>
    </row>
    <row r="35" spans="1:26" ht="15" hidden="1" thickBot="1">
      <c r="A35" s="35">
        <v>34</v>
      </c>
      <c r="B35" s="33" t="s">
        <v>22</v>
      </c>
      <c r="C35" s="4">
        <v>1</v>
      </c>
      <c r="D35" s="33">
        <v>4</v>
      </c>
      <c r="E35" s="33" t="s">
        <v>182</v>
      </c>
      <c r="F35" s="39" t="s">
        <v>17</v>
      </c>
      <c r="G35" s="140">
        <v>42837</v>
      </c>
      <c r="H35" s="14">
        <v>42837</v>
      </c>
      <c r="I35" s="4"/>
      <c r="J35" s="94">
        <v>1</v>
      </c>
      <c r="K35" s="152">
        <v>1</v>
      </c>
      <c r="L35" s="156">
        <f t="shared" si="0"/>
        <v>16</v>
      </c>
      <c r="M35" s="160">
        <f t="shared" si="1"/>
        <v>0.8</v>
      </c>
      <c r="N35" s="52" t="s">
        <v>33</v>
      </c>
      <c r="O35" s="95">
        <v>42838</v>
      </c>
      <c r="P35" s="16"/>
      <c r="Q35" s="3">
        <v>2</v>
      </c>
      <c r="R35" s="4">
        <v>2</v>
      </c>
      <c r="S35" s="4">
        <v>2</v>
      </c>
      <c r="T35" s="4">
        <v>2</v>
      </c>
      <c r="U35" s="3">
        <v>2</v>
      </c>
      <c r="V35" s="4">
        <v>2</v>
      </c>
      <c r="W35" s="4">
        <v>1</v>
      </c>
      <c r="X35" s="4">
        <v>0</v>
      </c>
      <c r="Y35" s="4">
        <v>1</v>
      </c>
      <c r="Z35" s="17">
        <v>2</v>
      </c>
    </row>
    <row r="36" spans="1:26" ht="15" hidden="1" thickBot="1">
      <c r="A36" s="36">
        <v>35</v>
      </c>
      <c r="B36" s="30" t="s">
        <v>22</v>
      </c>
      <c r="C36" s="30">
        <v>2</v>
      </c>
      <c r="D36" s="30">
        <v>4</v>
      </c>
      <c r="E36" s="30" t="s">
        <v>188</v>
      </c>
      <c r="F36" s="40" t="s">
        <v>112</v>
      </c>
      <c r="G36" s="134">
        <v>42837</v>
      </c>
      <c r="H36" s="19">
        <v>42837</v>
      </c>
      <c r="I36" s="6"/>
      <c r="J36" s="92">
        <v>1</v>
      </c>
      <c r="K36" s="153">
        <v>1</v>
      </c>
      <c r="L36" s="157">
        <f t="shared" si="0"/>
        <v>12</v>
      </c>
      <c r="M36" s="161">
        <f t="shared" si="1"/>
        <v>0.6</v>
      </c>
      <c r="N36" s="32" t="s">
        <v>32</v>
      </c>
      <c r="O36" s="37">
        <v>42838</v>
      </c>
      <c r="P36" s="21"/>
      <c r="Q36" s="5">
        <v>2</v>
      </c>
      <c r="R36" s="6">
        <v>0</v>
      </c>
      <c r="S36" s="6">
        <v>2</v>
      </c>
      <c r="T36" s="6">
        <v>2</v>
      </c>
      <c r="U36" s="5">
        <v>2</v>
      </c>
      <c r="V36" s="6">
        <v>1</v>
      </c>
      <c r="W36" s="6">
        <v>0</v>
      </c>
      <c r="X36" s="6">
        <v>0</v>
      </c>
      <c r="Y36" s="6">
        <v>1</v>
      </c>
      <c r="Z36" s="22">
        <v>2</v>
      </c>
    </row>
    <row r="37" spans="1:26" ht="15" hidden="1" thickBot="1">
      <c r="A37" s="36">
        <v>36</v>
      </c>
      <c r="B37" s="6" t="s">
        <v>22</v>
      </c>
      <c r="C37" s="6">
        <v>3</v>
      </c>
      <c r="D37" s="30">
        <v>4</v>
      </c>
      <c r="E37" s="6" t="s">
        <v>189</v>
      </c>
      <c r="F37" s="22" t="s">
        <v>113</v>
      </c>
      <c r="G37" s="134">
        <v>42837</v>
      </c>
      <c r="H37" s="19">
        <v>42837</v>
      </c>
      <c r="I37" s="6"/>
      <c r="J37" s="92">
        <v>1</v>
      </c>
      <c r="K37" s="153">
        <v>1</v>
      </c>
      <c r="L37" s="157">
        <f t="shared" si="0"/>
        <v>15</v>
      </c>
      <c r="M37" s="161">
        <f t="shared" si="1"/>
        <v>0.75</v>
      </c>
      <c r="N37" s="32" t="s">
        <v>34</v>
      </c>
      <c r="O37" s="37">
        <v>42838</v>
      </c>
      <c r="P37" s="21"/>
      <c r="Q37" s="5">
        <v>2</v>
      </c>
      <c r="R37" s="6">
        <v>2</v>
      </c>
      <c r="S37" s="6">
        <v>2</v>
      </c>
      <c r="T37" s="6">
        <v>2</v>
      </c>
      <c r="U37" s="5">
        <v>2</v>
      </c>
      <c r="V37" s="6">
        <v>2</v>
      </c>
      <c r="W37" s="6">
        <v>0</v>
      </c>
      <c r="X37" s="6">
        <v>0</v>
      </c>
      <c r="Y37" s="6">
        <v>1</v>
      </c>
      <c r="Z37" s="22">
        <v>2</v>
      </c>
    </row>
    <row r="38" spans="1:26" ht="15" hidden="1" thickBot="1">
      <c r="A38" s="36">
        <v>37</v>
      </c>
      <c r="B38" s="6" t="s">
        <v>22</v>
      </c>
      <c r="C38" s="6">
        <v>4</v>
      </c>
      <c r="D38" s="30">
        <v>4</v>
      </c>
      <c r="E38" s="6" t="s">
        <v>79</v>
      </c>
      <c r="F38" s="22" t="s">
        <v>85</v>
      </c>
      <c r="G38" s="134">
        <v>42837</v>
      </c>
      <c r="H38" s="19">
        <v>42837</v>
      </c>
      <c r="I38" s="6"/>
      <c r="J38" s="92">
        <v>1</v>
      </c>
      <c r="K38" s="153">
        <v>1</v>
      </c>
      <c r="L38" s="157">
        <f t="shared" si="0"/>
        <v>14</v>
      </c>
      <c r="M38" s="161">
        <f t="shared" si="1"/>
        <v>0.7</v>
      </c>
      <c r="N38" s="32">
        <v>4</v>
      </c>
      <c r="O38" s="37">
        <v>42838</v>
      </c>
      <c r="P38" s="21"/>
      <c r="Q38" s="5">
        <v>2</v>
      </c>
      <c r="R38" s="6">
        <v>2</v>
      </c>
      <c r="S38" s="6">
        <v>2</v>
      </c>
      <c r="T38" s="6">
        <v>2</v>
      </c>
      <c r="U38" s="5">
        <v>2</v>
      </c>
      <c r="V38" s="6">
        <v>1</v>
      </c>
      <c r="W38" s="6">
        <v>0</v>
      </c>
      <c r="X38" s="6">
        <v>0</v>
      </c>
      <c r="Y38" s="6">
        <v>1</v>
      </c>
      <c r="Z38" s="22">
        <v>2</v>
      </c>
    </row>
    <row r="39" spans="1:26" ht="15" hidden="1" thickBot="1">
      <c r="A39" s="36">
        <v>38</v>
      </c>
      <c r="B39" s="6" t="s">
        <v>22</v>
      </c>
      <c r="C39" s="30">
        <v>5</v>
      </c>
      <c r="D39" s="30">
        <v>3</v>
      </c>
      <c r="E39" s="6" t="s">
        <v>40</v>
      </c>
      <c r="F39" s="22" t="s">
        <v>114</v>
      </c>
      <c r="G39" s="5"/>
      <c r="H39" s="19"/>
      <c r="I39" s="6" t="s">
        <v>307</v>
      </c>
      <c r="J39" s="92">
        <v>1</v>
      </c>
      <c r="K39" s="153">
        <v>1</v>
      </c>
      <c r="L39" s="157">
        <f t="shared" si="0"/>
        <v>0</v>
      </c>
      <c r="M39" s="161">
        <f t="shared" si="1"/>
        <v>0</v>
      </c>
      <c r="N39" s="32"/>
      <c r="O39" s="37"/>
      <c r="P39" s="21"/>
      <c r="Q39" s="5"/>
      <c r="R39" s="6"/>
      <c r="S39" s="6"/>
      <c r="T39" s="6"/>
      <c r="U39" s="5"/>
      <c r="V39" s="6"/>
      <c r="W39" s="6"/>
      <c r="X39" s="6"/>
      <c r="Y39" s="6"/>
      <c r="Z39" s="22"/>
    </row>
    <row r="40" spans="1:26" ht="15" hidden="1" thickBot="1">
      <c r="A40" s="36">
        <v>39</v>
      </c>
      <c r="B40" s="6" t="s">
        <v>22</v>
      </c>
      <c r="C40" s="6">
        <v>6</v>
      </c>
      <c r="D40" s="30">
        <v>4</v>
      </c>
      <c r="E40" s="6" t="s">
        <v>10</v>
      </c>
      <c r="F40" s="22" t="s">
        <v>115</v>
      </c>
      <c r="G40" s="134">
        <v>42837</v>
      </c>
      <c r="H40" s="19">
        <v>42837</v>
      </c>
      <c r="I40" s="19"/>
      <c r="J40" s="92">
        <v>1</v>
      </c>
      <c r="K40" s="153">
        <v>1</v>
      </c>
      <c r="L40" s="157">
        <f t="shared" si="0"/>
        <v>15</v>
      </c>
      <c r="M40" s="161">
        <f t="shared" si="1"/>
        <v>0.75</v>
      </c>
      <c r="N40" s="32" t="s">
        <v>34</v>
      </c>
      <c r="O40" s="37">
        <v>42838</v>
      </c>
      <c r="P40" s="21"/>
      <c r="Q40" s="5">
        <v>2</v>
      </c>
      <c r="R40" s="6">
        <v>2</v>
      </c>
      <c r="S40" s="6">
        <v>2</v>
      </c>
      <c r="T40" s="6">
        <v>2</v>
      </c>
      <c r="U40" s="5">
        <v>2</v>
      </c>
      <c r="V40" s="6">
        <v>2</v>
      </c>
      <c r="W40" s="6">
        <v>0</v>
      </c>
      <c r="X40" s="6">
        <v>0</v>
      </c>
      <c r="Y40" s="6">
        <v>1</v>
      </c>
      <c r="Z40" s="22">
        <v>2</v>
      </c>
    </row>
    <row r="41" spans="1:26" ht="15" hidden="1" thickBot="1">
      <c r="A41" s="36">
        <v>40</v>
      </c>
      <c r="B41" s="6" t="s">
        <v>22</v>
      </c>
      <c r="C41" s="6">
        <v>7</v>
      </c>
      <c r="D41" s="30">
        <v>3</v>
      </c>
      <c r="E41" s="6" t="s">
        <v>11</v>
      </c>
      <c r="F41" s="22" t="s">
        <v>116</v>
      </c>
      <c r="G41" s="134">
        <v>42837</v>
      </c>
      <c r="H41" s="19">
        <v>42837</v>
      </c>
      <c r="I41" s="19"/>
      <c r="J41" s="92">
        <v>1</v>
      </c>
      <c r="K41" s="153">
        <v>1</v>
      </c>
      <c r="L41" s="157">
        <f t="shared" si="0"/>
        <v>8</v>
      </c>
      <c r="M41" s="161">
        <f t="shared" si="1"/>
        <v>0.4</v>
      </c>
      <c r="N41" s="32">
        <v>2</v>
      </c>
      <c r="O41" s="37">
        <v>42838</v>
      </c>
      <c r="P41" s="21"/>
      <c r="Q41" s="5">
        <v>2</v>
      </c>
      <c r="R41" s="6">
        <v>2</v>
      </c>
      <c r="S41" s="6">
        <v>2</v>
      </c>
      <c r="T41" s="6">
        <v>0</v>
      </c>
      <c r="U41" s="5">
        <v>2</v>
      </c>
      <c r="V41" s="6">
        <v>0</v>
      </c>
      <c r="W41" s="6">
        <v>0</v>
      </c>
      <c r="X41" s="6">
        <v>0</v>
      </c>
      <c r="Y41" s="6">
        <v>0</v>
      </c>
      <c r="Z41" s="22">
        <v>0</v>
      </c>
    </row>
    <row r="42" spans="1:26" ht="15" hidden="1" thickBot="1">
      <c r="A42" s="36">
        <v>41</v>
      </c>
      <c r="B42" s="6" t="s">
        <v>22</v>
      </c>
      <c r="C42" s="30">
        <v>8</v>
      </c>
      <c r="D42" s="30">
        <v>3</v>
      </c>
      <c r="E42" s="6" t="s">
        <v>186</v>
      </c>
      <c r="F42" s="22" t="s">
        <v>117</v>
      </c>
      <c r="G42" s="134">
        <v>42837</v>
      </c>
      <c r="H42" s="19">
        <v>42837</v>
      </c>
      <c r="I42" s="19"/>
      <c r="J42" s="92">
        <v>1</v>
      </c>
      <c r="K42" s="153">
        <v>1</v>
      </c>
      <c r="L42" s="157">
        <f t="shared" si="0"/>
        <v>17</v>
      </c>
      <c r="M42" s="161">
        <f t="shared" si="1"/>
        <v>0.85</v>
      </c>
      <c r="N42" s="32">
        <v>5</v>
      </c>
      <c r="O42" s="37">
        <v>42838</v>
      </c>
      <c r="P42" s="21"/>
      <c r="Q42" s="5">
        <v>2</v>
      </c>
      <c r="R42" s="6">
        <v>2</v>
      </c>
      <c r="S42" s="6">
        <v>2</v>
      </c>
      <c r="T42" s="6">
        <v>2</v>
      </c>
      <c r="U42" s="5">
        <v>2</v>
      </c>
      <c r="V42" s="6">
        <v>2</v>
      </c>
      <c r="W42" s="6">
        <v>1</v>
      </c>
      <c r="X42" s="6">
        <v>0</v>
      </c>
      <c r="Y42" s="6">
        <v>2</v>
      </c>
      <c r="Z42" s="22">
        <v>2</v>
      </c>
    </row>
    <row r="43" spans="1:26" ht="15" hidden="1" thickBot="1">
      <c r="A43" s="36">
        <v>42</v>
      </c>
      <c r="B43" s="6" t="s">
        <v>22</v>
      </c>
      <c r="C43" s="6">
        <v>9</v>
      </c>
      <c r="D43" s="30">
        <v>4</v>
      </c>
      <c r="E43" s="6" t="s">
        <v>181</v>
      </c>
      <c r="F43" s="22" t="s">
        <v>118</v>
      </c>
      <c r="G43" s="134">
        <v>42837</v>
      </c>
      <c r="H43" s="19">
        <v>42837</v>
      </c>
      <c r="I43" s="19"/>
      <c r="J43" s="92">
        <v>1</v>
      </c>
      <c r="K43" s="153">
        <v>1</v>
      </c>
      <c r="L43" s="157">
        <f t="shared" si="0"/>
        <v>16</v>
      </c>
      <c r="M43" s="161">
        <f t="shared" si="1"/>
        <v>0.8</v>
      </c>
      <c r="N43" s="32" t="s">
        <v>33</v>
      </c>
      <c r="O43" s="37">
        <v>42838</v>
      </c>
      <c r="P43" s="21"/>
      <c r="Q43" s="5">
        <v>2</v>
      </c>
      <c r="R43" s="6">
        <v>2</v>
      </c>
      <c r="S43" s="6">
        <v>2</v>
      </c>
      <c r="T43" s="6">
        <v>2</v>
      </c>
      <c r="U43" s="5">
        <v>2</v>
      </c>
      <c r="V43" s="6">
        <v>2</v>
      </c>
      <c r="W43" s="6">
        <v>1</v>
      </c>
      <c r="X43" s="6">
        <v>0</v>
      </c>
      <c r="Y43" s="6">
        <v>1</v>
      </c>
      <c r="Z43" s="22">
        <v>2</v>
      </c>
    </row>
    <row r="44" spans="1:26" ht="15" hidden="1" thickBot="1">
      <c r="A44" s="36">
        <v>43</v>
      </c>
      <c r="B44" s="6" t="s">
        <v>22</v>
      </c>
      <c r="C44" s="6">
        <v>10</v>
      </c>
      <c r="D44" s="30">
        <v>3</v>
      </c>
      <c r="E44" s="6" t="s">
        <v>48</v>
      </c>
      <c r="F44" s="22" t="s">
        <v>119</v>
      </c>
      <c r="G44" s="134">
        <v>42837</v>
      </c>
      <c r="H44" s="19">
        <v>42837</v>
      </c>
      <c r="I44" s="19"/>
      <c r="J44" s="92">
        <v>1</v>
      </c>
      <c r="K44" s="153">
        <v>1</v>
      </c>
      <c r="L44" s="157">
        <f t="shared" si="0"/>
        <v>8</v>
      </c>
      <c r="M44" s="161">
        <f t="shared" si="1"/>
        <v>0.4</v>
      </c>
      <c r="N44" s="32">
        <v>2</v>
      </c>
      <c r="O44" s="37">
        <v>42838</v>
      </c>
      <c r="P44" s="21"/>
      <c r="Q44" s="5">
        <v>2</v>
      </c>
      <c r="R44" s="6">
        <v>2</v>
      </c>
      <c r="S44" s="6">
        <v>2</v>
      </c>
      <c r="T44" s="6">
        <v>0</v>
      </c>
      <c r="U44" s="5">
        <v>2</v>
      </c>
      <c r="V44" s="6">
        <v>0</v>
      </c>
      <c r="W44" s="6">
        <v>0</v>
      </c>
      <c r="X44" s="6">
        <v>0</v>
      </c>
      <c r="Y44" s="6">
        <v>0</v>
      </c>
      <c r="Z44" s="22">
        <v>0</v>
      </c>
    </row>
    <row r="45" spans="1:26" ht="15" hidden="1" thickBot="1">
      <c r="A45" s="36">
        <v>44</v>
      </c>
      <c r="B45" s="6" t="s">
        <v>22</v>
      </c>
      <c r="C45" s="30">
        <v>11</v>
      </c>
      <c r="D45" s="30">
        <v>3</v>
      </c>
      <c r="E45" s="6" t="s">
        <v>183</v>
      </c>
      <c r="F45" s="22" t="s">
        <v>120</v>
      </c>
      <c r="G45" s="134">
        <v>42837</v>
      </c>
      <c r="H45" s="19">
        <v>42837</v>
      </c>
      <c r="I45" s="19"/>
      <c r="J45" s="92">
        <v>1</v>
      </c>
      <c r="K45" s="153">
        <v>1</v>
      </c>
      <c r="L45" s="157">
        <f t="shared" si="0"/>
        <v>17</v>
      </c>
      <c r="M45" s="161">
        <f t="shared" si="1"/>
        <v>0.85</v>
      </c>
      <c r="N45" s="32">
        <v>5</v>
      </c>
      <c r="O45" s="37">
        <v>42838</v>
      </c>
      <c r="P45" s="21"/>
      <c r="Q45" s="5">
        <v>2</v>
      </c>
      <c r="R45" s="6">
        <v>2</v>
      </c>
      <c r="S45" s="6">
        <v>2</v>
      </c>
      <c r="T45" s="6">
        <v>2</v>
      </c>
      <c r="U45" s="5">
        <v>2</v>
      </c>
      <c r="V45" s="6">
        <v>2</v>
      </c>
      <c r="W45" s="6">
        <v>1</v>
      </c>
      <c r="X45" s="6">
        <v>0</v>
      </c>
      <c r="Y45" s="6">
        <v>2</v>
      </c>
      <c r="Z45" s="22">
        <v>2</v>
      </c>
    </row>
    <row r="46" spans="1:26" ht="15" hidden="1" thickBot="1">
      <c r="A46" s="36">
        <v>45</v>
      </c>
      <c r="B46" s="6" t="s">
        <v>22</v>
      </c>
      <c r="C46" s="6">
        <v>12</v>
      </c>
      <c r="D46" s="30">
        <v>3</v>
      </c>
      <c r="E46" s="6" t="s">
        <v>184</v>
      </c>
      <c r="F46" s="22" t="s">
        <v>121</v>
      </c>
      <c r="G46" s="5"/>
      <c r="H46" s="19"/>
      <c r="I46" s="6" t="s">
        <v>307</v>
      </c>
      <c r="J46" s="92">
        <v>1</v>
      </c>
      <c r="K46" s="153">
        <v>1</v>
      </c>
      <c r="L46" s="157">
        <f t="shared" si="0"/>
        <v>0</v>
      </c>
      <c r="M46" s="161">
        <f t="shared" si="1"/>
        <v>0</v>
      </c>
      <c r="N46" s="32"/>
      <c r="O46" s="37"/>
      <c r="P46" s="21"/>
      <c r="Q46" s="5"/>
      <c r="R46" s="6"/>
      <c r="S46" s="6"/>
      <c r="T46" s="6"/>
      <c r="U46" s="5"/>
      <c r="V46" s="6"/>
      <c r="W46" s="6"/>
      <c r="X46" s="6"/>
      <c r="Y46" s="6"/>
      <c r="Z46" s="22"/>
    </row>
    <row r="47" spans="1:26" ht="15" hidden="1" thickBot="1">
      <c r="A47" s="36">
        <v>46</v>
      </c>
      <c r="B47" s="6" t="s">
        <v>22</v>
      </c>
      <c r="C47" s="6">
        <v>13</v>
      </c>
      <c r="D47" s="30">
        <v>3</v>
      </c>
      <c r="E47" s="30" t="s">
        <v>14</v>
      </c>
      <c r="F47" s="22" t="s">
        <v>46</v>
      </c>
      <c r="G47" s="134">
        <v>42837</v>
      </c>
      <c r="H47" s="19">
        <v>42837</v>
      </c>
      <c r="I47" s="19"/>
      <c r="J47" s="92">
        <v>1</v>
      </c>
      <c r="K47" s="153">
        <v>1</v>
      </c>
      <c r="L47" s="157">
        <f t="shared" si="0"/>
        <v>16</v>
      </c>
      <c r="M47" s="161">
        <f t="shared" si="1"/>
        <v>0.8</v>
      </c>
      <c r="N47" s="32" t="s">
        <v>33</v>
      </c>
      <c r="O47" s="37">
        <v>42838</v>
      </c>
      <c r="P47" s="21"/>
      <c r="Q47" s="5">
        <v>2</v>
      </c>
      <c r="R47" s="6">
        <v>2</v>
      </c>
      <c r="S47" s="6">
        <v>2</v>
      </c>
      <c r="T47" s="6">
        <v>2</v>
      </c>
      <c r="U47" s="5">
        <v>2</v>
      </c>
      <c r="V47" s="6">
        <v>2</v>
      </c>
      <c r="W47" s="6">
        <v>0</v>
      </c>
      <c r="X47" s="6">
        <v>0</v>
      </c>
      <c r="Y47" s="6">
        <v>2</v>
      </c>
      <c r="Z47" s="22">
        <v>2</v>
      </c>
    </row>
    <row r="48" spans="1:26" ht="15" hidden="1" thickBot="1">
      <c r="A48" s="36">
        <v>47</v>
      </c>
      <c r="B48" s="30" t="s">
        <v>22</v>
      </c>
      <c r="C48" s="30">
        <v>14</v>
      </c>
      <c r="D48" s="30">
        <v>4</v>
      </c>
      <c r="E48" s="30" t="s">
        <v>187</v>
      </c>
      <c r="F48" s="40" t="s">
        <v>123</v>
      </c>
      <c r="G48" s="134">
        <v>42837</v>
      </c>
      <c r="H48" s="19">
        <v>42837</v>
      </c>
      <c r="I48" s="19"/>
      <c r="J48" s="92">
        <v>1</v>
      </c>
      <c r="K48" s="153">
        <v>1</v>
      </c>
      <c r="L48" s="157">
        <f t="shared" si="0"/>
        <v>14</v>
      </c>
      <c r="M48" s="161">
        <f t="shared" si="1"/>
        <v>0.7</v>
      </c>
      <c r="N48" s="32">
        <v>4</v>
      </c>
      <c r="O48" s="37">
        <v>42838</v>
      </c>
      <c r="P48" s="21"/>
      <c r="Q48" s="5">
        <v>2</v>
      </c>
      <c r="R48" s="6">
        <v>2</v>
      </c>
      <c r="S48" s="6">
        <v>2</v>
      </c>
      <c r="T48" s="6">
        <v>2</v>
      </c>
      <c r="U48" s="5">
        <v>2</v>
      </c>
      <c r="V48" s="6">
        <v>1</v>
      </c>
      <c r="W48" s="6">
        <v>0</v>
      </c>
      <c r="X48" s="6">
        <v>0</v>
      </c>
      <c r="Y48" s="6">
        <v>1</v>
      </c>
      <c r="Z48" s="22">
        <v>2</v>
      </c>
    </row>
    <row r="49" spans="1:27" ht="15" hidden="1" thickBot="1">
      <c r="A49" s="36">
        <v>48</v>
      </c>
      <c r="B49" s="30" t="s">
        <v>22</v>
      </c>
      <c r="C49" s="6">
        <v>15</v>
      </c>
      <c r="D49" s="30">
        <v>3</v>
      </c>
      <c r="E49" s="6" t="s">
        <v>186</v>
      </c>
      <c r="F49" s="40" t="s">
        <v>124</v>
      </c>
      <c r="G49" s="36"/>
      <c r="H49" s="19"/>
      <c r="I49" s="6" t="s">
        <v>307</v>
      </c>
      <c r="J49" s="92">
        <v>1</v>
      </c>
      <c r="K49" s="153">
        <v>1</v>
      </c>
      <c r="L49" s="157">
        <f t="shared" si="0"/>
        <v>0</v>
      </c>
      <c r="M49" s="161">
        <f t="shared" si="1"/>
        <v>0</v>
      </c>
      <c r="N49" s="32"/>
      <c r="O49" s="123"/>
      <c r="P49" s="21"/>
      <c r="Q49" s="5"/>
      <c r="R49" s="6"/>
      <c r="S49" s="6"/>
      <c r="T49" s="6"/>
      <c r="U49" s="5"/>
      <c r="V49" s="6"/>
      <c r="W49" s="6"/>
      <c r="X49" s="6"/>
      <c r="Y49" s="6"/>
      <c r="Z49" s="22"/>
    </row>
    <row r="50" spans="1:27" ht="15" hidden="1" thickBot="1">
      <c r="A50" s="36">
        <v>49</v>
      </c>
      <c r="B50" s="30" t="s">
        <v>22</v>
      </c>
      <c r="C50" s="6">
        <v>16</v>
      </c>
      <c r="D50" s="30">
        <v>4</v>
      </c>
      <c r="E50" s="30" t="s">
        <v>125</v>
      </c>
      <c r="F50" s="40" t="s">
        <v>126</v>
      </c>
      <c r="G50" s="134">
        <v>42837</v>
      </c>
      <c r="H50" s="19">
        <v>42837</v>
      </c>
      <c r="I50" s="19"/>
      <c r="J50" s="92">
        <v>1</v>
      </c>
      <c r="K50" s="153">
        <v>1</v>
      </c>
      <c r="L50" s="157">
        <f t="shared" si="0"/>
        <v>13</v>
      </c>
      <c r="M50" s="161">
        <f t="shared" si="1"/>
        <v>0.65</v>
      </c>
      <c r="N50" s="32" t="s">
        <v>30</v>
      </c>
      <c r="O50" s="37">
        <v>42838</v>
      </c>
      <c r="P50" s="21"/>
      <c r="Q50" s="5">
        <v>2</v>
      </c>
      <c r="R50" s="6">
        <v>2</v>
      </c>
      <c r="S50" s="6">
        <v>2</v>
      </c>
      <c r="T50" s="6">
        <v>2</v>
      </c>
      <c r="U50" s="5">
        <v>2</v>
      </c>
      <c r="V50" s="6">
        <v>1</v>
      </c>
      <c r="W50" s="6">
        <v>0</v>
      </c>
      <c r="X50" s="6">
        <v>0</v>
      </c>
      <c r="Y50" s="6">
        <v>0</v>
      </c>
      <c r="Z50" s="22">
        <v>2</v>
      </c>
    </row>
    <row r="51" spans="1:27" ht="15" hidden="1" thickBot="1">
      <c r="A51" s="36">
        <v>50</v>
      </c>
      <c r="B51" s="30" t="s">
        <v>22</v>
      </c>
      <c r="C51" s="30">
        <v>17</v>
      </c>
      <c r="D51" s="30">
        <v>3</v>
      </c>
      <c r="E51" s="30" t="s">
        <v>127</v>
      </c>
      <c r="F51" s="40" t="s">
        <v>52</v>
      </c>
      <c r="G51" s="134">
        <v>42837</v>
      </c>
      <c r="H51" s="19">
        <v>42837</v>
      </c>
      <c r="I51" s="19"/>
      <c r="J51" s="92">
        <v>1</v>
      </c>
      <c r="K51" s="153">
        <v>1</v>
      </c>
      <c r="L51" s="157">
        <f t="shared" si="0"/>
        <v>15</v>
      </c>
      <c r="M51" s="161">
        <f t="shared" si="1"/>
        <v>0.75</v>
      </c>
      <c r="N51" s="32" t="s">
        <v>34</v>
      </c>
      <c r="O51" s="37">
        <v>42838</v>
      </c>
      <c r="P51" s="21"/>
      <c r="Q51" s="5">
        <v>2</v>
      </c>
      <c r="R51" s="6">
        <v>2</v>
      </c>
      <c r="S51" s="6">
        <v>2</v>
      </c>
      <c r="T51" s="6">
        <v>2</v>
      </c>
      <c r="U51" s="5">
        <v>2</v>
      </c>
      <c r="V51" s="6">
        <v>2</v>
      </c>
      <c r="W51" s="6">
        <v>0</v>
      </c>
      <c r="X51" s="6">
        <v>0</v>
      </c>
      <c r="Y51" s="6">
        <v>1</v>
      </c>
      <c r="Z51" s="22">
        <v>2</v>
      </c>
    </row>
    <row r="52" spans="1:27" ht="15" hidden="1" thickBot="1">
      <c r="A52" s="36">
        <v>51</v>
      </c>
      <c r="B52" s="30" t="s">
        <v>22</v>
      </c>
      <c r="C52" s="6">
        <v>18</v>
      </c>
      <c r="D52" s="30">
        <v>3</v>
      </c>
      <c r="E52" s="30" t="s">
        <v>128</v>
      </c>
      <c r="F52" s="40" t="s">
        <v>129</v>
      </c>
      <c r="G52" s="134">
        <v>42837</v>
      </c>
      <c r="H52" s="19">
        <v>42837</v>
      </c>
      <c r="I52" s="19"/>
      <c r="J52" s="92">
        <v>1</v>
      </c>
      <c r="K52" s="153">
        <v>1</v>
      </c>
      <c r="L52" s="157">
        <f t="shared" si="0"/>
        <v>8</v>
      </c>
      <c r="M52" s="161">
        <f t="shared" si="1"/>
        <v>0.4</v>
      </c>
      <c r="N52" s="32">
        <v>2</v>
      </c>
      <c r="O52" s="37">
        <v>42838</v>
      </c>
      <c r="P52" s="21"/>
      <c r="Q52" s="5">
        <v>2</v>
      </c>
      <c r="R52" s="6">
        <v>2</v>
      </c>
      <c r="S52" s="6">
        <v>2</v>
      </c>
      <c r="T52" s="6">
        <v>0</v>
      </c>
      <c r="U52" s="5">
        <v>2</v>
      </c>
      <c r="V52" s="6">
        <v>0</v>
      </c>
      <c r="W52" s="6">
        <v>0</v>
      </c>
      <c r="X52" s="6">
        <v>0</v>
      </c>
      <c r="Y52" s="6">
        <v>0</v>
      </c>
      <c r="Z52" s="22">
        <v>0</v>
      </c>
    </row>
    <row r="53" spans="1:27" ht="15" hidden="1" thickBot="1">
      <c r="A53" s="36">
        <v>52</v>
      </c>
      <c r="B53" s="30" t="s">
        <v>22</v>
      </c>
      <c r="C53" s="6">
        <v>19</v>
      </c>
      <c r="D53" s="30">
        <v>3</v>
      </c>
      <c r="E53" s="30" t="s">
        <v>14</v>
      </c>
      <c r="F53" s="40" t="s">
        <v>130</v>
      </c>
      <c r="G53" s="134">
        <v>42837</v>
      </c>
      <c r="H53" s="19">
        <v>42837</v>
      </c>
      <c r="I53" s="19"/>
      <c r="J53" s="92">
        <v>1</v>
      </c>
      <c r="K53" s="153">
        <v>1</v>
      </c>
      <c r="L53" s="157">
        <f t="shared" si="0"/>
        <v>16</v>
      </c>
      <c r="M53" s="161">
        <f t="shared" si="1"/>
        <v>0.8</v>
      </c>
      <c r="N53" s="32" t="s">
        <v>33</v>
      </c>
      <c r="O53" s="37">
        <v>42838</v>
      </c>
      <c r="P53" s="21"/>
      <c r="Q53" s="5">
        <v>2</v>
      </c>
      <c r="R53" s="6">
        <v>2</v>
      </c>
      <c r="S53" s="6">
        <v>2</v>
      </c>
      <c r="T53" s="6">
        <v>2</v>
      </c>
      <c r="U53" s="5">
        <v>2</v>
      </c>
      <c r="V53" s="6">
        <v>2</v>
      </c>
      <c r="W53" s="6">
        <v>0</v>
      </c>
      <c r="X53" s="6">
        <v>0</v>
      </c>
      <c r="Y53" s="6">
        <v>2</v>
      </c>
      <c r="Z53" s="22">
        <v>2</v>
      </c>
    </row>
    <row r="54" spans="1:27" ht="15" hidden="1" thickBot="1">
      <c r="A54" s="36">
        <v>53</v>
      </c>
      <c r="B54" s="30" t="s">
        <v>22</v>
      </c>
      <c r="C54" s="30">
        <v>20</v>
      </c>
      <c r="D54" s="30">
        <v>3</v>
      </c>
      <c r="E54" s="6" t="s">
        <v>48</v>
      </c>
      <c r="F54" s="40" t="s">
        <v>131</v>
      </c>
      <c r="G54" s="134">
        <v>42837</v>
      </c>
      <c r="H54" s="19">
        <v>42837</v>
      </c>
      <c r="I54" s="19"/>
      <c r="J54" s="92">
        <v>1</v>
      </c>
      <c r="K54" s="153">
        <v>1</v>
      </c>
      <c r="L54" s="157">
        <f t="shared" si="0"/>
        <v>16</v>
      </c>
      <c r="M54" s="161">
        <f t="shared" si="1"/>
        <v>0.8</v>
      </c>
      <c r="N54" s="32" t="s">
        <v>33</v>
      </c>
      <c r="O54" s="37">
        <v>42838</v>
      </c>
      <c r="P54" s="21"/>
      <c r="Q54" s="5">
        <v>2</v>
      </c>
      <c r="R54" s="6">
        <v>2</v>
      </c>
      <c r="S54" s="6">
        <v>2</v>
      </c>
      <c r="T54" s="6">
        <v>2</v>
      </c>
      <c r="U54" s="5">
        <v>2</v>
      </c>
      <c r="V54" s="6">
        <v>2</v>
      </c>
      <c r="W54" s="6">
        <v>0</v>
      </c>
      <c r="X54" s="6">
        <v>0</v>
      </c>
      <c r="Y54" s="6">
        <v>2</v>
      </c>
      <c r="Z54" s="22">
        <v>2</v>
      </c>
    </row>
    <row r="55" spans="1:27" ht="15" hidden="1" thickBot="1">
      <c r="A55" s="36">
        <v>54</v>
      </c>
      <c r="B55" s="30" t="s">
        <v>22</v>
      </c>
      <c r="C55" s="6">
        <v>21</v>
      </c>
      <c r="D55" s="30">
        <v>4</v>
      </c>
      <c r="E55" s="30" t="s">
        <v>185</v>
      </c>
      <c r="F55" s="40" t="s">
        <v>60</v>
      </c>
      <c r="G55" s="134">
        <v>42837</v>
      </c>
      <c r="H55" s="19">
        <v>42837</v>
      </c>
      <c r="I55" s="19"/>
      <c r="J55" s="92">
        <v>1</v>
      </c>
      <c r="K55" s="153">
        <v>1</v>
      </c>
      <c r="L55" s="157">
        <f t="shared" si="0"/>
        <v>13</v>
      </c>
      <c r="M55" s="161">
        <f t="shared" si="1"/>
        <v>0.65</v>
      </c>
      <c r="N55" s="32" t="s">
        <v>30</v>
      </c>
      <c r="O55" s="37">
        <v>42838</v>
      </c>
      <c r="P55" s="21"/>
      <c r="Q55" s="5">
        <v>2</v>
      </c>
      <c r="R55" s="6">
        <v>2</v>
      </c>
      <c r="S55" s="6">
        <v>2</v>
      </c>
      <c r="T55" s="6">
        <v>2</v>
      </c>
      <c r="U55" s="5">
        <v>2</v>
      </c>
      <c r="V55" s="6">
        <v>1</v>
      </c>
      <c r="W55" s="6">
        <v>0</v>
      </c>
      <c r="X55" s="6">
        <v>0</v>
      </c>
      <c r="Y55" s="6">
        <v>0</v>
      </c>
      <c r="Z55" s="22">
        <v>2</v>
      </c>
    </row>
    <row r="56" spans="1:27" ht="15" hidden="1" thickBot="1">
      <c r="A56" s="36">
        <v>55</v>
      </c>
      <c r="B56" s="30" t="s">
        <v>22</v>
      </c>
      <c r="C56" s="6">
        <v>22</v>
      </c>
      <c r="D56" s="30">
        <v>4</v>
      </c>
      <c r="E56" s="30" t="s">
        <v>0</v>
      </c>
      <c r="F56" s="40" t="s">
        <v>106</v>
      </c>
      <c r="G56" s="134">
        <v>42837</v>
      </c>
      <c r="H56" s="19">
        <v>42837</v>
      </c>
      <c r="I56" s="19"/>
      <c r="J56" s="92">
        <v>1</v>
      </c>
      <c r="K56" s="153">
        <v>1</v>
      </c>
      <c r="L56" s="157">
        <f t="shared" si="0"/>
        <v>13</v>
      </c>
      <c r="M56" s="161">
        <f t="shared" si="1"/>
        <v>0.65</v>
      </c>
      <c r="N56" s="32" t="s">
        <v>30</v>
      </c>
      <c r="O56" s="37">
        <v>42838</v>
      </c>
      <c r="P56" s="21"/>
      <c r="Q56" s="5">
        <v>2</v>
      </c>
      <c r="R56" s="6">
        <v>2</v>
      </c>
      <c r="S56" s="6">
        <v>2</v>
      </c>
      <c r="T56" s="6">
        <v>2</v>
      </c>
      <c r="U56" s="5">
        <v>2</v>
      </c>
      <c r="V56" s="6">
        <v>1</v>
      </c>
      <c r="W56" s="6">
        <v>0</v>
      </c>
      <c r="X56" s="6">
        <v>0</v>
      </c>
      <c r="Y56" s="6">
        <v>0</v>
      </c>
      <c r="Z56" s="22">
        <v>2</v>
      </c>
    </row>
    <row r="57" spans="1:27" ht="15" hidden="1" thickBot="1">
      <c r="A57" s="36">
        <v>56</v>
      </c>
      <c r="B57" s="6" t="s">
        <v>22</v>
      </c>
      <c r="C57" s="30">
        <v>23</v>
      </c>
      <c r="D57" s="30">
        <v>3</v>
      </c>
      <c r="E57" s="6" t="s">
        <v>12</v>
      </c>
      <c r="F57" s="22" t="s">
        <v>132</v>
      </c>
      <c r="G57" s="134">
        <v>42837</v>
      </c>
      <c r="H57" s="19">
        <v>42837</v>
      </c>
      <c r="I57" s="19"/>
      <c r="J57" s="92">
        <v>1</v>
      </c>
      <c r="K57" s="153">
        <v>1</v>
      </c>
      <c r="L57" s="157">
        <f t="shared" si="0"/>
        <v>15</v>
      </c>
      <c r="M57" s="161">
        <f t="shared" si="1"/>
        <v>0.75</v>
      </c>
      <c r="N57" s="32" t="s">
        <v>34</v>
      </c>
      <c r="O57" s="37">
        <v>42838</v>
      </c>
      <c r="P57" s="21"/>
      <c r="Q57" s="5">
        <v>2</v>
      </c>
      <c r="R57" s="6">
        <v>2</v>
      </c>
      <c r="S57" s="6">
        <v>2</v>
      </c>
      <c r="T57" s="6">
        <v>2</v>
      </c>
      <c r="U57" s="5">
        <v>2</v>
      </c>
      <c r="V57" s="6">
        <v>2</v>
      </c>
      <c r="W57" s="6">
        <v>0</v>
      </c>
      <c r="X57" s="6">
        <v>0</v>
      </c>
      <c r="Y57" s="6">
        <v>1</v>
      </c>
      <c r="Z57" s="22">
        <v>2</v>
      </c>
      <c r="AA57" s="18"/>
    </row>
    <row r="58" spans="1:27" ht="15" hidden="1" thickBot="1">
      <c r="A58" s="36">
        <v>57</v>
      </c>
      <c r="B58" s="30" t="s">
        <v>22</v>
      </c>
      <c r="C58" s="6">
        <v>24</v>
      </c>
      <c r="D58" s="30">
        <v>3</v>
      </c>
      <c r="E58" s="30" t="s">
        <v>0</v>
      </c>
      <c r="F58" s="40" t="s">
        <v>54</v>
      </c>
      <c r="G58" s="134">
        <v>42837</v>
      </c>
      <c r="H58" s="19">
        <v>42837</v>
      </c>
      <c r="I58" s="19"/>
      <c r="J58" s="92">
        <v>1</v>
      </c>
      <c r="K58" s="153">
        <v>1</v>
      </c>
      <c r="L58" s="157">
        <f t="shared" si="0"/>
        <v>15</v>
      </c>
      <c r="M58" s="161">
        <f t="shared" si="1"/>
        <v>0.75</v>
      </c>
      <c r="N58" s="32" t="s">
        <v>34</v>
      </c>
      <c r="O58" s="37">
        <v>42838</v>
      </c>
      <c r="P58" s="21"/>
      <c r="Q58" s="5">
        <v>2</v>
      </c>
      <c r="R58" s="6">
        <v>2</v>
      </c>
      <c r="S58" s="6">
        <v>2</v>
      </c>
      <c r="T58" s="6">
        <v>2</v>
      </c>
      <c r="U58" s="5">
        <v>2</v>
      </c>
      <c r="V58" s="6">
        <v>2</v>
      </c>
      <c r="W58" s="6">
        <v>0</v>
      </c>
      <c r="X58" s="6">
        <v>0</v>
      </c>
      <c r="Y58" s="6">
        <v>1</v>
      </c>
      <c r="Z58" s="22">
        <v>2</v>
      </c>
    </row>
    <row r="59" spans="1:27" ht="15" hidden="1" thickBot="1">
      <c r="A59" s="36">
        <v>58</v>
      </c>
      <c r="B59" s="30" t="s">
        <v>22</v>
      </c>
      <c r="C59" s="6">
        <v>25</v>
      </c>
      <c r="D59" s="30">
        <v>3</v>
      </c>
      <c r="E59" s="30" t="s">
        <v>100</v>
      </c>
      <c r="F59" s="40" t="s">
        <v>133</v>
      </c>
      <c r="G59" s="134">
        <v>42837</v>
      </c>
      <c r="H59" s="19">
        <v>42837</v>
      </c>
      <c r="I59" s="19"/>
      <c r="J59" s="92">
        <v>1</v>
      </c>
      <c r="K59" s="153">
        <v>1</v>
      </c>
      <c r="L59" s="157">
        <f t="shared" si="0"/>
        <v>15</v>
      </c>
      <c r="M59" s="161">
        <f t="shared" si="1"/>
        <v>0.75</v>
      </c>
      <c r="N59" s="32" t="s">
        <v>34</v>
      </c>
      <c r="O59" s="37">
        <v>42838</v>
      </c>
      <c r="P59" s="21"/>
      <c r="Q59" s="5">
        <v>2</v>
      </c>
      <c r="R59" s="6">
        <v>2</v>
      </c>
      <c r="S59" s="6">
        <v>2</v>
      </c>
      <c r="T59" s="6">
        <v>2</v>
      </c>
      <c r="U59" s="5">
        <v>2</v>
      </c>
      <c r="V59" s="6">
        <v>2</v>
      </c>
      <c r="W59" s="6">
        <v>0</v>
      </c>
      <c r="X59" s="6">
        <v>0</v>
      </c>
      <c r="Y59" s="6">
        <v>1</v>
      </c>
      <c r="Z59" s="22">
        <v>2</v>
      </c>
    </row>
    <row r="60" spans="1:27" ht="15" hidden="1" thickBot="1">
      <c r="A60" s="36">
        <v>59</v>
      </c>
      <c r="B60" s="30" t="s">
        <v>22</v>
      </c>
      <c r="C60" s="30">
        <v>26</v>
      </c>
      <c r="D60" s="30">
        <v>4</v>
      </c>
      <c r="E60" s="6" t="s">
        <v>12</v>
      </c>
      <c r="F60" s="40" t="s">
        <v>111</v>
      </c>
      <c r="G60" s="134">
        <v>42837</v>
      </c>
      <c r="H60" s="19">
        <v>42837</v>
      </c>
      <c r="I60" s="19"/>
      <c r="J60" s="92">
        <v>1</v>
      </c>
      <c r="K60" s="153">
        <v>1</v>
      </c>
      <c r="L60" s="157">
        <f t="shared" si="0"/>
        <v>12</v>
      </c>
      <c r="M60" s="161">
        <f t="shared" si="1"/>
        <v>0.6</v>
      </c>
      <c r="N60" s="32" t="s">
        <v>32</v>
      </c>
      <c r="O60" s="37">
        <v>42838</v>
      </c>
      <c r="P60" s="21"/>
      <c r="Q60" s="5">
        <v>2</v>
      </c>
      <c r="R60" s="6">
        <v>0</v>
      </c>
      <c r="S60" s="6">
        <v>2</v>
      </c>
      <c r="T60" s="6">
        <v>2</v>
      </c>
      <c r="U60" s="5">
        <v>2</v>
      </c>
      <c r="V60" s="6">
        <v>1</v>
      </c>
      <c r="W60" s="6">
        <v>0</v>
      </c>
      <c r="X60" s="6">
        <v>0</v>
      </c>
      <c r="Y60" s="6">
        <v>1</v>
      </c>
      <c r="Z60" s="22">
        <v>2</v>
      </c>
    </row>
    <row r="61" spans="1:27" ht="15" hidden="1" thickBot="1">
      <c r="A61" s="38">
        <v>60</v>
      </c>
      <c r="B61" s="31" t="s">
        <v>22</v>
      </c>
      <c r="C61" s="24">
        <v>27</v>
      </c>
      <c r="D61" s="31">
        <v>3</v>
      </c>
      <c r="E61" s="31" t="s">
        <v>19</v>
      </c>
      <c r="F61" s="41" t="s">
        <v>111</v>
      </c>
      <c r="G61" s="38"/>
      <c r="H61" s="25"/>
      <c r="I61" s="24" t="s">
        <v>307</v>
      </c>
      <c r="J61" s="93">
        <v>1</v>
      </c>
      <c r="K61" s="154">
        <v>1</v>
      </c>
      <c r="L61" s="158">
        <f t="shared" si="0"/>
        <v>0</v>
      </c>
      <c r="M61" s="162">
        <f t="shared" si="1"/>
        <v>0</v>
      </c>
      <c r="N61" s="51"/>
      <c r="O61" s="99"/>
      <c r="P61" s="27"/>
      <c r="Q61" s="23"/>
      <c r="R61" s="24"/>
      <c r="S61" s="24"/>
      <c r="T61" s="24"/>
      <c r="U61" s="23"/>
      <c r="V61" s="24"/>
      <c r="W61" s="24"/>
      <c r="X61" s="24"/>
      <c r="Y61" s="24"/>
      <c r="Z61" s="28"/>
    </row>
    <row r="62" spans="1:27">
      <c r="A62" s="56">
        <v>61</v>
      </c>
      <c r="B62" s="57" t="s">
        <v>23</v>
      </c>
      <c r="C62" s="43">
        <v>1</v>
      </c>
      <c r="D62" s="57">
        <v>5</v>
      </c>
      <c r="E62" s="57" t="s">
        <v>12</v>
      </c>
      <c r="F62" s="46" t="s">
        <v>134</v>
      </c>
      <c r="G62" s="55"/>
      <c r="H62" s="14"/>
      <c r="I62" s="14"/>
      <c r="J62" s="94">
        <v>1</v>
      </c>
      <c r="K62" s="152">
        <v>1</v>
      </c>
      <c r="L62" s="156">
        <f t="shared" si="0"/>
        <v>0</v>
      </c>
      <c r="M62" s="160">
        <f t="shared" si="1"/>
        <v>0</v>
      </c>
      <c r="N62" s="52"/>
      <c r="O62" s="95"/>
      <c r="P62" s="16"/>
      <c r="Q62" s="3"/>
      <c r="R62" s="4"/>
      <c r="S62" s="4"/>
      <c r="T62" s="17"/>
      <c r="U62" s="3"/>
      <c r="V62" s="4"/>
      <c r="W62" s="4"/>
      <c r="X62" s="4"/>
      <c r="Y62" s="4"/>
      <c r="Z62" s="17"/>
    </row>
    <row r="63" spans="1:27">
      <c r="A63" s="36">
        <v>62</v>
      </c>
      <c r="B63" s="30" t="s">
        <v>23</v>
      </c>
      <c r="C63" s="6">
        <v>2</v>
      </c>
      <c r="D63" s="30">
        <v>5</v>
      </c>
      <c r="E63" s="30" t="s">
        <v>12</v>
      </c>
      <c r="F63" s="40" t="s">
        <v>135</v>
      </c>
      <c r="G63" s="36"/>
      <c r="H63" s="19"/>
      <c r="I63" s="19"/>
      <c r="J63" s="92">
        <v>1</v>
      </c>
      <c r="K63" s="153">
        <v>1</v>
      </c>
      <c r="L63" s="157">
        <f t="shared" si="0"/>
        <v>0</v>
      </c>
      <c r="M63" s="161">
        <f t="shared" si="1"/>
        <v>0</v>
      </c>
      <c r="N63" s="32"/>
      <c r="O63" s="37"/>
      <c r="P63" s="21"/>
      <c r="Q63" s="5"/>
      <c r="R63" s="6"/>
      <c r="S63" s="6"/>
      <c r="T63" s="22"/>
      <c r="U63" s="5"/>
      <c r="V63" s="6"/>
      <c r="W63" s="6"/>
      <c r="X63" s="6"/>
      <c r="Y63" s="6"/>
      <c r="Z63" s="22"/>
    </row>
    <row r="64" spans="1:27">
      <c r="A64" s="36">
        <v>63</v>
      </c>
      <c r="B64" s="30" t="s">
        <v>23</v>
      </c>
      <c r="C64" s="30">
        <v>3</v>
      </c>
      <c r="D64" s="30">
        <v>6</v>
      </c>
      <c r="E64" s="30" t="s">
        <v>82</v>
      </c>
      <c r="F64" s="22" t="s">
        <v>136</v>
      </c>
      <c r="G64" s="53">
        <v>42837</v>
      </c>
      <c r="H64" s="19">
        <v>42837</v>
      </c>
      <c r="I64" s="19"/>
      <c r="J64" s="92">
        <v>1</v>
      </c>
      <c r="K64" s="153">
        <v>1</v>
      </c>
      <c r="L64" s="157">
        <f t="shared" si="0"/>
        <v>10</v>
      </c>
      <c r="M64" s="161">
        <f t="shared" si="1"/>
        <v>0.5</v>
      </c>
      <c r="N64" s="32" t="s">
        <v>31</v>
      </c>
      <c r="O64" s="37">
        <v>42840</v>
      </c>
      <c r="P64" s="21"/>
      <c r="Q64" s="5">
        <v>2</v>
      </c>
      <c r="R64" s="6">
        <v>2</v>
      </c>
      <c r="S64" s="6">
        <v>2</v>
      </c>
      <c r="T64" s="22">
        <v>0</v>
      </c>
      <c r="U64" s="5">
        <v>2</v>
      </c>
      <c r="V64" s="6">
        <v>0</v>
      </c>
      <c r="W64" s="6">
        <v>0</v>
      </c>
      <c r="X64" s="6">
        <v>0</v>
      </c>
      <c r="Y64" s="6">
        <v>2</v>
      </c>
      <c r="Z64" s="22">
        <v>0</v>
      </c>
    </row>
    <row r="65" spans="1:26">
      <c r="A65" s="36">
        <v>64</v>
      </c>
      <c r="B65" s="30" t="s">
        <v>23</v>
      </c>
      <c r="C65" s="6">
        <v>4</v>
      </c>
      <c r="D65" s="30">
        <v>6</v>
      </c>
      <c r="E65" s="30" t="s">
        <v>10</v>
      </c>
      <c r="F65" s="40" t="s">
        <v>137</v>
      </c>
      <c r="G65" s="36"/>
      <c r="H65" s="19"/>
      <c r="I65" s="19" t="s">
        <v>307</v>
      </c>
      <c r="J65" s="92">
        <v>1</v>
      </c>
      <c r="K65" s="153">
        <v>1</v>
      </c>
      <c r="L65" s="157">
        <f t="shared" si="0"/>
        <v>0</v>
      </c>
      <c r="M65" s="161">
        <f t="shared" si="1"/>
        <v>0</v>
      </c>
      <c r="N65" s="32"/>
      <c r="O65" s="37"/>
      <c r="P65" s="21"/>
      <c r="Q65" s="5"/>
      <c r="R65" s="6"/>
      <c r="S65" s="6"/>
      <c r="T65" s="22"/>
      <c r="U65" s="5"/>
      <c r="V65" s="6"/>
      <c r="W65" s="6"/>
      <c r="X65" s="6"/>
      <c r="Y65" s="6"/>
      <c r="Z65" s="22"/>
    </row>
    <row r="66" spans="1:26">
      <c r="A66" s="36">
        <v>65</v>
      </c>
      <c r="B66" s="30" t="s">
        <v>23</v>
      </c>
      <c r="C66" s="6">
        <v>5</v>
      </c>
      <c r="D66" s="30">
        <v>6</v>
      </c>
      <c r="E66" s="30" t="s">
        <v>68</v>
      </c>
      <c r="F66" s="22" t="s">
        <v>138</v>
      </c>
      <c r="G66" s="53">
        <v>42837</v>
      </c>
      <c r="H66" s="19">
        <v>42837</v>
      </c>
      <c r="I66" s="19"/>
      <c r="J66" s="92">
        <v>1</v>
      </c>
      <c r="K66" s="153">
        <v>1</v>
      </c>
      <c r="L66" s="157">
        <f t="shared" si="0"/>
        <v>10</v>
      </c>
      <c r="M66" s="161">
        <f t="shared" si="1"/>
        <v>0.5</v>
      </c>
      <c r="N66" s="32" t="s">
        <v>31</v>
      </c>
      <c r="O66" s="37">
        <v>42840</v>
      </c>
      <c r="P66" s="21"/>
      <c r="Q66" s="5">
        <v>2</v>
      </c>
      <c r="R66" s="6">
        <v>2</v>
      </c>
      <c r="S66" s="6">
        <v>2</v>
      </c>
      <c r="T66" s="22">
        <v>0</v>
      </c>
      <c r="U66" s="5">
        <v>2</v>
      </c>
      <c r="V66" s="6">
        <v>0</v>
      </c>
      <c r="W66" s="6">
        <v>0</v>
      </c>
      <c r="X66" s="6">
        <v>0</v>
      </c>
      <c r="Y66" s="6">
        <v>2</v>
      </c>
      <c r="Z66" s="22">
        <v>0</v>
      </c>
    </row>
    <row r="67" spans="1:26">
      <c r="A67" s="36">
        <v>66</v>
      </c>
      <c r="B67" s="30" t="s">
        <v>23</v>
      </c>
      <c r="C67" s="30">
        <v>6</v>
      </c>
      <c r="D67" s="30">
        <v>5</v>
      </c>
      <c r="E67" s="30" t="s">
        <v>12</v>
      </c>
      <c r="F67" s="40" t="s">
        <v>45</v>
      </c>
      <c r="G67" s="36"/>
      <c r="H67" s="19"/>
      <c r="I67" s="19"/>
      <c r="J67" s="92">
        <v>1</v>
      </c>
      <c r="K67" s="153">
        <v>1</v>
      </c>
      <c r="L67" s="157">
        <f t="shared" si="0"/>
        <v>0</v>
      </c>
      <c r="M67" s="161">
        <f t="shared" si="1"/>
        <v>0</v>
      </c>
      <c r="N67" s="32"/>
      <c r="O67" s="37"/>
      <c r="P67" s="21"/>
      <c r="Q67" s="5"/>
      <c r="R67" s="6"/>
      <c r="S67" s="6"/>
      <c r="T67" s="22"/>
      <c r="U67" s="5"/>
      <c r="V67" s="6"/>
      <c r="W67" s="6"/>
      <c r="X67" s="6"/>
      <c r="Y67" s="6"/>
      <c r="Z67" s="22"/>
    </row>
    <row r="68" spans="1:26">
      <c r="A68" s="36">
        <v>67</v>
      </c>
      <c r="B68" s="30" t="s">
        <v>23</v>
      </c>
      <c r="C68" s="6">
        <v>7</v>
      </c>
      <c r="D68" s="30">
        <v>6</v>
      </c>
      <c r="E68" s="30" t="s">
        <v>190</v>
      </c>
      <c r="F68" s="22" t="s">
        <v>139</v>
      </c>
      <c r="G68" s="53">
        <v>42837</v>
      </c>
      <c r="H68" s="19">
        <v>42837</v>
      </c>
      <c r="I68" s="19"/>
      <c r="J68" s="92">
        <v>1</v>
      </c>
      <c r="K68" s="153">
        <v>1</v>
      </c>
      <c r="L68" s="157">
        <f t="shared" ref="L68:L108" si="2">SUM(P68:Z68)</f>
        <v>6</v>
      </c>
      <c r="M68" s="161">
        <f t="shared" si="1"/>
        <v>0.3</v>
      </c>
      <c r="N68" s="32" t="s">
        <v>310</v>
      </c>
      <c r="O68" s="37">
        <v>42840</v>
      </c>
      <c r="P68" s="21"/>
      <c r="Q68" s="5">
        <v>2</v>
      </c>
      <c r="R68" s="6">
        <v>0</v>
      </c>
      <c r="S68" s="6">
        <v>0</v>
      </c>
      <c r="T68" s="22">
        <v>0</v>
      </c>
      <c r="U68" s="5">
        <v>2</v>
      </c>
      <c r="V68" s="6">
        <v>2</v>
      </c>
      <c r="W68" s="6">
        <v>0</v>
      </c>
      <c r="X68" s="6">
        <v>0</v>
      </c>
      <c r="Y68" s="6">
        <v>0</v>
      </c>
      <c r="Z68" s="22">
        <v>0</v>
      </c>
    </row>
    <row r="69" spans="1:26">
      <c r="A69" s="36">
        <v>68</v>
      </c>
      <c r="B69" s="30" t="s">
        <v>23</v>
      </c>
      <c r="C69" s="6">
        <v>8</v>
      </c>
      <c r="D69" s="30">
        <v>6</v>
      </c>
      <c r="E69" s="30" t="s">
        <v>82</v>
      </c>
      <c r="F69" s="22" t="s">
        <v>140</v>
      </c>
      <c r="G69" s="53">
        <v>42837</v>
      </c>
      <c r="H69" s="19">
        <v>42837</v>
      </c>
      <c r="I69" s="19"/>
      <c r="J69" s="92">
        <v>1</v>
      </c>
      <c r="K69" s="153">
        <v>1</v>
      </c>
      <c r="L69" s="157">
        <f t="shared" si="2"/>
        <v>10</v>
      </c>
      <c r="M69" s="161">
        <f t="shared" si="1"/>
        <v>0.5</v>
      </c>
      <c r="N69" s="32" t="s">
        <v>31</v>
      </c>
      <c r="O69" s="37">
        <v>42840</v>
      </c>
      <c r="P69" s="21"/>
      <c r="Q69" s="5">
        <v>2</v>
      </c>
      <c r="R69" s="6">
        <v>2</v>
      </c>
      <c r="S69" s="6">
        <v>2</v>
      </c>
      <c r="T69" s="22">
        <v>0</v>
      </c>
      <c r="U69" s="5">
        <v>2</v>
      </c>
      <c r="V69" s="6">
        <v>0</v>
      </c>
      <c r="W69" s="6">
        <v>0</v>
      </c>
      <c r="X69" s="6">
        <v>0</v>
      </c>
      <c r="Y69" s="6">
        <v>2</v>
      </c>
      <c r="Z69" s="22">
        <v>0</v>
      </c>
    </row>
    <row r="70" spans="1:26">
      <c r="A70" s="36">
        <v>69</v>
      </c>
      <c r="B70" s="30" t="s">
        <v>23</v>
      </c>
      <c r="C70" s="30">
        <v>9</v>
      </c>
      <c r="D70" s="30">
        <v>6</v>
      </c>
      <c r="E70" s="30" t="s">
        <v>65</v>
      </c>
      <c r="F70" s="22" t="s">
        <v>141</v>
      </c>
      <c r="G70" s="53">
        <v>42837</v>
      </c>
      <c r="H70" s="19">
        <v>42837</v>
      </c>
      <c r="I70" s="19"/>
      <c r="J70" s="92">
        <v>1</v>
      </c>
      <c r="K70" s="153">
        <v>1</v>
      </c>
      <c r="L70" s="157">
        <f t="shared" si="2"/>
        <v>10</v>
      </c>
      <c r="M70" s="161">
        <f t="shared" si="1"/>
        <v>0.5</v>
      </c>
      <c r="N70" s="32" t="s">
        <v>31</v>
      </c>
      <c r="O70" s="37">
        <v>42840</v>
      </c>
      <c r="P70" s="21"/>
      <c r="Q70" s="5">
        <v>2</v>
      </c>
      <c r="R70" s="6">
        <v>2</v>
      </c>
      <c r="S70" s="6">
        <v>2</v>
      </c>
      <c r="T70" s="22">
        <v>0</v>
      </c>
      <c r="U70" s="5">
        <v>2</v>
      </c>
      <c r="V70" s="6">
        <v>0</v>
      </c>
      <c r="W70" s="6">
        <v>0</v>
      </c>
      <c r="X70" s="6">
        <v>0</v>
      </c>
      <c r="Y70" s="6">
        <v>2</v>
      </c>
      <c r="Z70" s="22">
        <v>0</v>
      </c>
    </row>
    <row r="71" spans="1:26">
      <c r="A71" s="36">
        <v>70</v>
      </c>
      <c r="B71" s="30" t="s">
        <v>23</v>
      </c>
      <c r="C71" s="6">
        <v>10</v>
      </c>
      <c r="D71" s="30">
        <v>6</v>
      </c>
      <c r="E71" s="30" t="s">
        <v>14</v>
      </c>
      <c r="F71" s="22" t="s">
        <v>142</v>
      </c>
      <c r="G71" s="53">
        <v>42837</v>
      </c>
      <c r="H71" s="19">
        <v>42837</v>
      </c>
      <c r="I71" s="6"/>
      <c r="J71" s="92">
        <v>1</v>
      </c>
      <c r="K71" s="153">
        <v>1</v>
      </c>
      <c r="L71" s="157">
        <f t="shared" si="2"/>
        <v>6</v>
      </c>
      <c r="M71" s="161">
        <f t="shared" si="1"/>
        <v>0.3</v>
      </c>
      <c r="N71" s="32" t="s">
        <v>310</v>
      </c>
      <c r="O71" s="37">
        <v>42840</v>
      </c>
      <c r="P71" s="21"/>
      <c r="Q71" s="5">
        <v>2</v>
      </c>
      <c r="R71" s="6">
        <v>0</v>
      </c>
      <c r="S71" s="6">
        <v>0</v>
      </c>
      <c r="T71" s="22">
        <v>0</v>
      </c>
      <c r="U71" s="5">
        <v>2</v>
      </c>
      <c r="V71" s="6">
        <v>2</v>
      </c>
      <c r="W71" s="6">
        <v>0</v>
      </c>
      <c r="X71" s="6">
        <v>0</v>
      </c>
      <c r="Y71" s="6">
        <v>0</v>
      </c>
      <c r="Z71" s="22">
        <v>0</v>
      </c>
    </row>
    <row r="72" spans="1:26">
      <c r="A72" s="36">
        <v>72</v>
      </c>
      <c r="B72" s="30" t="s">
        <v>24</v>
      </c>
      <c r="C72" s="30">
        <v>33</v>
      </c>
      <c r="D72" s="30">
        <v>8</v>
      </c>
      <c r="E72" s="30" t="s">
        <v>79</v>
      </c>
      <c r="F72" s="40" t="s">
        <v>143</v>
      </c>
      <c r="G72" s="36"/>
      <c r="H72" s="19"/>
      <c r="I72" s="6"/>
      <c r="J72" s="92">
        <v>1</v>
      </c>
      <c r="K72" s="153">
        <v>1</v>
      </c>
      <c r="L72" s="157">
        <f t="shared" si="2"/>
        <v>0</v>
      </c>
      <c r="M72" s="161">
        <f t="shared" si="1"/>
        <v>0</v>
      </c>
      <c r="N72" s="32"/>
      <c r="O72" s="22"/>
      <c r="P72" s="21"/>
      <c r="Q72" s="5"/>
      <c r="R72" s="6"/>
      <c r="S72" s="6"/>
      <c r="T72" s="22"/>
      <c r="U72" s="5"/>
      <c r="V72" s="6"/>
      <c r="W72" s="6"/>
      <c r="X72" s="6"/>
      <c r="Y72" s="6"/>
      <c r="Z72" s="22"/>
    </row>
    <row r="73" spans="1:26">
      <c r="A73" s="36">
        <v>73</v>
      </c>
      <c r="B73" s="30" t="s">
        <v>23</v>
      </c>
      <c r="C73" s="6">
        <v>13</v>
      </c>
      <c r="D73" s="30">
        <v>6</v>
      </c>
      <c r="E73" s="30" t="s">
        <v>48</v>
      </c>
      <c r="F73" s="40" t="s">
        <v>144</v>
      </c>
      <c r="G73" s="53">
        <v>42837</v>
      </c>
      <c r="H73" s="19">
        <v>42837</v>
      </c>
      <c r="I73" s="6"/>
      <c r="J73" s="92">
        <v>1</v>
      </c>
      <c r="K73" s="153">
        <v>1</v>
      </c>
      <c r="L73" s="157">
        <f t="shared" si="2"/>
        <v>10</v>
      </c>
      <c r="M73" s="161">
        <f t="shared" si="1"/>
        <v>0.5</v>
      </c>
      <c r="N73" s="32" t="s">
        <v>31</v>
      </c>
      <c r="O73" s="37">
        <v>42840</v>
      </c>
      <c r="P73" s="21"/>
      <c r="Q73" s="5">
        <v>2</v>
      </c>
      <c r="R73" s="6">
        <v>2</v>
      </c>
      <c r="S73" s="6">
        <v>2</v>
      </c>
      <c r="T73" s="22">
        <v>0</v>
      </c>
      <c r="U73" s="5">
        <v>2</v>
      </c>
      <c r="V73" s="6">
        <v>0</v>
      </c>
      <c r="W73" s="6">
        <v>0</v>
      </c>
      <c r="X73" s="6">
        <v>0</v>
      </c>
      <c r="Y73" s="6">
        <v>2</v>
      </c>
      <c r="Z73" s="22">
        <v>0</v>
      </c>
    </row>
    <row r="74" spans="1:26">
      <c r="A74" s="36">
        <v>74</v>
      </c>
      <c r="B74" s="30" t="s">
        <v>23</v>
      </c>
      <c r="C74" s="6">
        <v>14</v>
      </c>
      <c r="D74" s="30">
        <v>5</v>
      </c>
      <c r="E74" s="30" t="s">
        <v>11</v>
      </c>
      <c r="F74" s="40" t="s">
        <v>145</v>
      </c>
      <c r="G74" s="36"/>
      <c r="H74" s="19"/>
      <c r="I74" s="6"/>
      <c r="J74" s="92">
        <v>1</v>
      </c>
      <c r="K74" s="153">
        <v>1</v>
      </c>
      <c r="L74" s="157">
        <f t="shared" si="2"/>
        <v>0</v>
      </c>
      <c r="M74" s="161">
        <f t="shared" ref="M74:M108" si="3">L74/$L$2</f>
        <v>0</v>
      </c>
      <c r="N74" s="32"/>
      <c r="O74" s="37"/>
      <c r="P74" s="21"/>
      <c r="Q74" s="5"/>
      <c r="R74" s="6"/>
      <c r="S74" s="6"/>
      <c r="T74" s="22"/>
      <c r="U74" s="5"/>
      <c r="V74" s="6"/>
      <c r="W74" s="6"/>
      <c r="X74" s="6"/>
      <c r="Y74" s="6"/>
      <c r="Z74" s="22"/>
    </row>
    <row r="75" spans="1:26">
      <c r="A75" s="36">
        <v>75</v>
      </c>
      <c r="B75" s="30" t="s">
        <v>23</v>
      </c>
      <c r="C75" s="30">
        <v>15</v>
      </c>
      <c r="D75" s="30">
        <v>5</v>
      </c>
      <c r="E75" s="30" t="s">
        <v>128</v>
      </c>
      <c r="F75" s="40" t="s">
        <v>55</v>
      </c>
      <c r="G75" s="36"/>
      <c r="H75" s="19"/>
      <c r="I75" s="6"/>
      <c r="J75" s="92">
        <v>1</v>
      </c>
      <c r="K75" s="153">
        <v>1</v>
      </c>
      <c r="L75" s="157">
        <f t="shared" si="2"/>
        <v>0</v>
      </c>
      <c r="M75" s="161">
        <f t="shared" si="3"/>
        <v>0</v>
      </c>
      <c r="N75" s="32"/>
      <c r="O75" s="37"/>
      <c r="P75" s="21"/>
      <c r="Q75" s="5"/>
      <c r="R75" s="6"/>
      <c r="S75" s="6"/>
      <c r="T75" s="22"/>
      <c r="U75" s="5"/>
      <c r="V75" s="6"/>
      <c r="W75" s="6"/>
      <c r="X75" s="6"/>
      <c r="Y75" s="6"/>
      <c r="Z75" s="22"/>
    </row>
    <row r="76" spans="1:26">
      <c r="A76" s="36">
        <v>76</v>
      </c>
      <c r="B76" s="30" t="s">
        <v>23</v>
      </c>
      <c r="C76" s="6">
        <v>16</v>
      </c>
      <c r="D76" s="30">
        <v>6</v>
      </c>
      <c r="E76" s="30" t="s">
        <v>177</v>
      </c>
      <c r="F76" s="40" t="s">
        <v>146</v>
      </c>
      <c r="G76" s="36"/>
      <c r="H76" s="19"/>
      <c r="I76" s="6" t="s">
        <v>309</v>
      </c>
      <c r="J76" s="92">
        <v>1</v>
      </c>
      <c r="K76" s="153">
        <v>1</v>
      </c>
      <c r="L76" s="157">
        <f t="shared" si="2"/>
        <v>0</v>
      </c>
      <c r="M76" s="161">
        <f t="shared" si="3"/>
        <v>0</v>
      </c>
      <c r="N76" s="32"/>
      <c r="O76" s="37"/>
      <c r="P76" s="21"/>
      <c r="Q76" s="5"/>
      <c r="R76" s="6"/>
      <c r="S76" s="6"/>
      <c r="T76" s="22"/>
      <c r="U76" s="5"/>
      <c r="V76" s="6"/>
      <c r="W76" s="6"/>
      <c r="X76" s="6"/>
      <c r="Y76" s="6"/>
      <c r="Z76" s="22"/>
    </row>
    <row r="77" spans="1:26">
      <c r="A77" s="36">
        <v>77</v>
      </c>
      <c r="B77" s="30" t="s">
        <v>23</v>
      </c>
      <c r="C77" s="6">
        <v>17</v>
      </c>
      <c r="D77" s="30">
        <v>5</v>
      </c>
      <c r="E77" s="30" t="s">
        <v>79</v>
      </c>
      <c r="F77" s="40" t="s">
        <v>59</v>
      </c>
      <c r="G77" s="36"/>
      <c r="H77" s="19"/>
      <c r="I77" s="6"/>
      <c r="J77" s="92">
        <v>1</v>
      </c>
      <c r="K77" s="153">
        <v>1</v>
      </c>
      <c r="L77" s="157">
        <f t="shared" si="2"/>
        <v>0</v>
      </c>
      <c r="M77" s="161">
        <f t="shared" si="3"/>
        <v>0</v>
      </c>
      <c r="N77" s="32"/>
      <c r="O77" s="123"/>
      <c r="P77" s="21"/>
      <c r="Q77" s="5"/>
      <c r="R77" s="6"/>
      <c r="S77" s="6"/>
      <c r="T77" s="22"/>
      <c r="U77" s="5"/>
      <c r="V77" s="6"/>
      <c r="W77" s="6"/>
      <c r="X77" s="6"/>
      <c r="Y77" s="6"/>
      <c r="Z77" s="22"/>
    </row>
    <row r="78" spans="1:26" ht="15" thickBot="1">
      <c r="A78" s="38">
        <v>78</v>
      </c>
      <c r="B78" s="31" t="s">
        <v>23</v>
      </c>
      <c r="C78" s="31">
        <v>18</v>
      </c>
      <c r="D78" s="31">
        <v>6</v>
      </c>
      <c r="E78" s="31" t="s">
        <v>191</v>
      </c>
      <c r="F78" s="41" t="s">
        <v>147</v>
      </c>
      <c r="G78" s="129">
        <v>42837</v>
      </c>
      <c r="H78" s="25">
        <v>42837</v>
      </c>
      <c r="I78" s="24"/>
      <c r="J78" s="93">
        <v>1</v>
      </c>
      <c r="K78" s="154">
        <v>1</v>
      </c>
      <c r="L78" s="158">
        <f t="shared" si="2"/>
        <v>6</v>
      </c>
      <c r="M78" s="162">
        <f t="shared" si="3"/>
        <v>0.3</v>
      </c>
      <c r="N78" s="51" t="s">
        <v>310</v>
      </c>
      <c r="O78" s="99">
        <v>42840</v>
      </c>
      <c r="P78" s="27"/>
      <c r="Q78" s="23">
        <v>2</v>
      </c>
      <c r="R78" s="24">
        <v>0</v>
      </c>
      <c r="S78" s="24">
        <v>0</v>
      </c>
      <c r="T78" s="28">
        <v>0</v>
      </c>
      <c r="U78" s="23">
        <v>2</v>
      </c>
      <c r="V78" s="24">
        <v>2</v>
      </c>
      <c r="W78" s="24">
        <v>0</v>
      </c>
      <c r="X78" s="24">
        <v>0</v>
      </c>
      <c r="Y78" s="24">
        <v>0</v>
      </c>
      <c r="Z78" s="28">
        <v>0</v>
      </c>
    </row>
    <row r="79" spans="1:26">
      <c r="A79" s="35">
        <v>80</v>
      </c>
      <c r="B79" s="33" t="s">
        <v>24</v>
      </c>
      <c r="C79" s="4">
        <v>1</v>
      </c>
      <c r="D79" s="33">
        <v>8</v>
      </c>
      <c r="E79" s="33" t="s">
        <v>148</v>
      </c>
      <c r="F79" s="39" t="s">
        <v>13</v>
      </c>
      <c r="G79" s="35"/>
      <c r="H79" s="14"/>
      <c r="I79" s="4"/>
      <c r="J79" s="94">
        <v>1</v>
      </c>
      <c r="K79" s="152">
        <v>1</v>
      </c>
      <c r="L79" s="156">
        <f t="shared" si="2"/>
        <v>0</v>
      </c>
      <c r="M79" s="160">
        <f t="shared" si="3"/>
        <v>0</v>
      </c>
      <c r="N79" s="52"/>
      <c r="O79" s="125"/>
      <c r="P79" s="16"/>
      <c r="Q79" s="3"/>
      <c r="R79" s="4"/>
      <c r="S79" s="4"/>
      <c r="T79" s="17"/>
      <c r="U79" s="3"/>
      <c r="V79" s="4"/>
      <c r="W79" s="4"/>
      <c r="X79" s="4"/>
      <c r="Y79" s="4"/>
      <c r="Z79" s="17"/>
    </row>
    <row r="80" spans="1:26">
      <c r="A80" s="36">
        <v>81</v>
      </c>
      <c r="B80" s="30" t="s">
        <v>24</v>
      </c>
      <c r="C80" s="30">
        <v>2</v>
      </c>
      <c r="D80" s="30">
        <v>8</v>
      </c>
      <c r="E80" s="30" t="s">
        <v>79</v>
      </c>
      <c r="F80" s="40" t="s">
        <v>51</v>
      </c>
      <c r="G80" s="36"/>
      <c r="H80" s="19"/>
      <c r="I80" s="6"/>
      <c r="J80" s="92">
        <v>1</v>
      </c>
      <c r="K80" s="153">
        <v>1</v>
      </c>
      <c r="L80" s="157">
        <f t="shared" si="2"/>
        <v>0</v>
      </c>
      <c r="M80" s="161">
        <f t="shared" si="3"/>
        <v>0</v>
      </c>
      <c r="N80" s="32"/>
      <c r="O80" s="123"/>
      <c r="P80" s="21"/>
      <c r="Q80" s="5"/>
      <c r="R80" s="6"/>
      <c r="S80" s="6"/>
      <c r="T80" s="22"/>
      <c r="U80" s="5"/>
      <c r="V80" s="6"/>
      <c r="W80" s="6"/>
      <c r="X80" s="6"/>
      <c r="Y80" s="6"/>
      <c r="Z80" s="22"/>
    </row>
    <row r="81" spans="1:26">
      <c r="A81" s="36">
        <v>82</v>
      </c>
      <c r="B81" s="30" t="s">
        <v>24</v>
      </c>
      <c r="C81" s="6">
        <v>3</v>
      </c>
      <c r="D81" s="30">
        <v>7</v>
      </c>
      <c r="E81" s="30" t="s">
        <v>128</v>
      </c>
      <c r="F81" s="40" t="s">
        <v>149</v>
      </c>
      <c r="G81" s="134">
        <v>42821</v>
      </c>
      <c r="H81" s="19">
        <v>42821</v>
      </c>
      <c r="I81" s="6"/>
      <c r="J81" s="92">
        <v>1</v>
      </c>
      <c r="K81" s="153">
        <v>1</v>
      </c>
      <c r="L81" s="157">
        <f t="shared" si="2"/>
        <v>13</v>
      </c>
      <c r="M81" s="161">
        <f t="shared" si="3"/>
        <v>0.65</v>
      </c>
      <c r="N81" s="32" t="s">
        <v>30</v>
      </c>
      <c r="O81" s="123"/>
      <c r="P81" s="21"/>
      <c r="Q81" s="5">
        <v>3</v>
      </c>
      <c r="R81" s="6">
        <v>2</v>
      </c>
      <c r="S81" s="6">
        <v>3</v>
      </c>
      <c r="T81" s="22">
        <v>0</v>
      </c>
      <c r="U81" s="5">
        <v>2</v>
      </c>
      <c r="V81" s="6">
        <v>1</v>
      </c>
      <c r="W81" s="6">
        <v>0</v>
      </c>
      <c r="X81" s="6">
        <v>0</v>
      </c>
      <c r="Y81" s="6">
        <v>2</v>
      </c>
      <c r="Z81" s="22">
        <v>0</v>
      </c>
    </row>
    <row r="82" spans="1:26">
      <c r="A82" s="36">
        <v>83</v>
      </c>
      <c r="B82" s="30" t="s">
        <v>24</v>
      </c>
      <c r="C82" s="6">
        <v>4</v>
      </c>
      <c r="D82" s="30">
        <v>7</v>
      </c>
      <c r="E82" s="30" t="s">
        <v>100</v>
      </c>
      <c r="F82" s="40" t="s">
        <v>150</v>
      </c>
      <c r="G82" s="134">
        <v>42821</v>
      </c>
      <c r="H82" s="19">
        <v>42821</v>
      </c>
      <c r="I82" s="19"/>
      <c r="J82" s="92">
        <v>1</v>
      </c>
      <c r="K82" s="153">
        <v>1</v>
      </c>
      <c r="L82" s="157">
        <f t="shared" si="2"/>
        <v>12</v>
      </c>
      <c r="M82" s="161">
        <f t="shared" si="3"/>
        <v>0.6</v>
      </c>
      <c r="N82" s="32" t="s">
        <v>32</v>
      </c>
      <c r="O82" s="37">
        <v>42828</v>
      </c>
      <c r="P82" s="21"/>
      <c r="Q82" s="5">
        <v>2</v>
      </c>
      <c r="R82" s="6">
        <v>2</v>
      </c>
      <c r="S82" s="6">
        <v>2</v>
      </c>
      <c r="T82" s="22">
        <v>2</v>
      </c>
      <c r="U82" s="5">
        <v>2</v>
      </c>
      <c r="V82" s="6">
        <v>0</v>
      </c>
      <c r="W82" s="6">
        <v>0</v>
      </c>
      <c r="X82" s="6">
        <v>0</v>
      </c>
      <c r="Y82" s="6">
        <v>2</v>
      </c>
      <c r="Z82" s="22">
        <v>0</v>
      </c>
    </row>
    <row r="83" spans="1:26">
      <c r="A83" s="36">
        <v>84</v>
      </c>
      <c r="B83" s="30" t="s">
        <v>24</v>
      </c>
      <c r="C83" s="30">
        <v>5</v>
      </c>
      <c r="D83" s="30">
        <v>7</v>
      </c>
      <c r="E83" s="30" t="s">
        <v>151</v>
      </c>
      <c r="F83" s="40" t="s">
        <v>152</v>
      </c>
      <c r="G83" s="36"/>
      <c r="H83" s="19"/>
      <c r="I83" s="6" t="s">
        <v>308</v>
      </c>
      <c r="J83" s="92">
        <v>1</v>
      </c>
      <c r="K83" s="153">
        <v>1</v>
      </c>
      <c r="L83" s="157">
        <f t="shared" si="2"/>
        <v>0</v>
      </c>
      <c r="M83" s="161">
        <f t="shared" si="3"/>
        <v>0</v>
      </c>
      <c r="N83" s="32"/>
      <c r="O83" s="37"/>
      <c r="P83" s="21"/>
      <c r="Q83" s="5"/>
      <c r="R83" s="6"/>
      <c r="S83" s="6"/>
      <c r="T83" s="22"/>
      <c r="U83" s="5"/>
      <c r="V83" s="6"/>
      <c r="W83" s="6"/>
      <c r="X83" s="6"/>
      <c r="Y83" s="6"/>
      <c r="Z83" s="22"/>
    </row>
    <row r="84" spans="1:26">
      <c r="A84" s="36">
        <v>85</v>
      </c>
      <c r="B84" s="30" t="s">
        <v>24</v>
      </c>
      <c r="C84" s="6">
        <v>6</v>
      </c>
      <c r="D84" s="30">
        <v>8</v>
      </c>
      <c r="E84" s="6" t="s">
        <v>176</v>
      </c>
      <c r="F84" s="22" t="s">
        <v>153</v>
      </c>
      <c r="G84" s="5"/>
      <c r="H84" s="19"/>
      <c r="I84" s="6"/>
      <c r="J84" s="92">
        <v>1</v>
      </c>
      <c r="K84" s="153">
        <v>1</v>
      </c>
      <c r="L84" s="157">
        <f t="shared" si="2"/>
        <v>0</v>
      </c>
      <c r="M84" s="161">
        <f t="shared" si="3"/>
        <v>0</v>
      </c>
      <c r="N84" s="32"/>
      <c r="O84" s="37"/>
      <c r="P84" s="21"/>
      <c r="Q84" s="5"/>
      <c r="R84" s="6"/>
      <c r="S84" s="6"/>
      <c r="T84" s="22"/>
      <c r="U84" s="5"/>
      <c r="V84" s="6"/>
      <c r="W84" s="6"/>
      <c r="X84" s="6"/>
      <c r="Y84" s="6"/>
      <c r="Z84" s="22"/>
    </row>
    <row r="85" spans="1:26">
      <c r="A85" s="36">
        <v>86</v>
      </c>
      <c r="B85" s="30" t="s">
        <v>24</v>
      </c>
      <c r="C85" s="6">
        <v>7</v>
      </c>
      <c r="D85" s="30">
        <v>7</v>
      </c>
      <c r="E85" s="30" t="s">
        <v>154</v>
      </c>
      <c r="F85" s="40" t="s">
        <v>155</v>
      </c>
      <c r="G85" s="134">
        <v>42821</v>
      </c>
      <c r="H85" s="19">
        <v>42821</v>
      </c>
      <c r="I85" s="6"/>
      <c r="J85" s="92">
        <v>1</v>
      </c>
      <c r="K85" s="153">
        <v>1</v>
      </c>
      <c r="L85" s="157">
        <f t="shared" si="2"/>
        <v>11</v>
      </c>
      <c r="M85" s="161">
        <f t="shared" si="3"/>
        <v>0.55000000000000004</v>
      </c>
      <c r="N85" s="32">
        <v>3</v>
      </c>
      <c r="O85" s="37">
        <v>42828</v>
      </c>
      <c r="P85" s="21"/>
      <c r="Q85" s="5">
        <v>2</v>
      </c>
      <c r="R85" s="6">
        <v>2</v>
      </c>
      <c r="S85" s="6">
        <v>2</v>
      </c>
      <c r="T85" s="22">
        <v>2</v>
      </c>
      <c r="U85" s="5">
        <v>1</v>
      </c>
      <c r="V85" s="6">
        <v>0</v>
      </c>
      <c r="W85" s="6">
        <v>0</v>
      </c>
      <c r="X85" s="6">
        <v>0</v>
      </c>
      <c r="Y85" s="6">
        <v>2</v>
      </c>
      <c r="Z85" s="22">
        <v>0</v>
      </c>
    </row>
    <row r="86" spans="1:26">
      <c r="A86" s="36">
        <v>87</v>
      </c>
      <c r="B86" s="30" t="s">
        <v>24</v>
      </c>
      <c r="C86" s="30">
        <v>8</v>
      </c>
      <c r="D86" s="30">
        <v>8</v>
      </c>
      <c r="E86" s="30" t="s">
        <v>65</v>
      </c>
      <c r="F86" s="40" t="s">
        <v>39</v>
      </c>
      <c r="G86" s="175"/>
      <c r="H86" s="19"/>
      <c r="I86" s="6"/>
      <c r="J86" s="92">
        <v>1</v>
      </c>
      <c r="K86" s="153">
        <v>1</v>
      </c>
      <c r="L86" s="157">
        <f t="shared" si="2"/>
        <v>0</v>
      </c>
      <c r="M86" s="161">
        <f t="shared" si="3"/>
        <v>0</v>
      </c>
      <c r="N86" s="32"/>
      <c r="O86" s="37"/>
      <c r="P86" s="21"/>
      <c r="Q86" s="5"/>
      <c r="R86" s="6"/>
      <c r="S86" s="6"/>
      <c r="T86" s="22"/>
      <c r="U86" s="5"/>
      <c r="V86" s="6"/>
      <c r="W86" s="6"/>
      <c r="X86" s="6"/>
      <c r="Y86" s="6"/>
      <c r="Z86" s="22"/>
    </row>
    <row r="87" spans="1:26">
      <c r="A87" s="36">
        <v>88</v>
      </c>
      <c r="B87" s="30" t="s">
        <v>24</v>
      </c>
      <c r="C87" s="6">
        <v>9</v>
      </c>
      <c r="D87" s="30">
        <v>8</v>
      </c>
      <c r="E87" s="30" t="s">
        <v>0</v>
      </c>
      <c r="F87" s="40" t="s">
        <v>119</v>
      </c>
      <c r="G87" s="175"/>
      <c r="H87" s="19"/>
      <c r="I87" s="6"/>
      <c r="J87" s="92">
        <v>1</v>
      </c>
      <c r="K87" s="153">
        <v>1</v>
      </c>
      <c r="L87" s="157">
        <f t="shared" si="2"/>
        <v>0</v>
      </c>
      <c r="M87" s="161">
        <f t="shared" si="3"/>
        <v>0</v>
      </c>
      <c r="N87" s="32"/>
      <c r="O87" s="37"/>
      <c r="P87" s="21"/>
      <c r="Q87" s="5"/>
      <c r="R87" s="6"/>
      <c r="S87" s="6"/>
      <c r="T87" s="22"/>
      <c r="U87" s="5"/>
      <c r="V87" s="6"/>
      <c r="W87" s="6"/>
      <c r="X87" s="6"/>
      <c r="Y87" s="6"/>
      <c r="Z87" s="22"/>
    </row>
    <row r="88" spans="1:26">
      <c r="A88" s="36">
        <v>89</v>
      </c>
      <c r="B88" s="30" t="s">
        <v>24</v>
      </c>
      <c r="C88" s="6">
        <v>10</v>
      </c>
      <c r="D88" s="30">
        <v>7</v>
      </c>
      <c r="E88" s="30" t="s">
        <v>82</v>
      </c>
      <c r="F88" s="40" t="s">
        <v>156</v>
      </c>
      <c r="G88" s="36"/>
      <c r="H88" s="19"/>
      <c r="I88" s="6" t="s">
        <v>308</v>
      </c>
      <c r="J88" s="92">
        <v>1</v>
      </c>
      <c r="K88" s="153">
        <v>1</v>
      </c>
      <c r="L88" s="157">
        <f t="shared" si="2"/>
        <v>0</v>
      </c>
      <c r="M88" s="161">
        <f t="shared" si="3"/>
        <v>0</v>
      </c>
      <c r="N88" s="32"/>
      <c r="O88" s="37"/>
      <c r="P88" s="21"/>
      <c r="Q88" s="5"/>
      <c r="R88" s="6"/>
      <c r="S88" s="6"/>
      <c r="T88" s="22"/>
      <c r="U88" s="5"/>
      <c r="V88" s="6"/>
      <c r="W88" s="6"/>
      <c r="X88" s="6"/>
      <c r="Y88" s="6"/>
      <c r="Z88" s="22"/>
    </row>
    <row r="89" spans="1:26">
      <c r="A89" s="36">
        <v>90</v>
      </c>
      <c r="B89" s="30" t="s">
        <v>24</v>
      </c>
      <c r="C89" s="30">
        <v>11</v>
      </c>
      <c r="D89" s="30">
        <v>8</v>
      </c>
      <c r="E89" s="30" t="s">
        <v>81</v>
      </c>
      <c r="F89" s="40" t="s">
        <v>157</v>
      </c>
      <c r="G89" s="36"/>
      <c r="H89" s="19"/>
      <c r="I89" s="6"/>
      <c r="J89" s="92">
        <v>1</v>
      </c>
      <c r="K89" s="153">
        <v>1</v>
      </c>
      <c r="L89" s="157">
        <f t="shared" si="2"/>
        <v>0</v>
      </c>
      <c r="M89" s="161">
        <f t="shared" si="3"/>
        <v>0</v>
      </c>
      <c r="N89" s="32"/>
      <c r="O89" s="37"/>
      <c r="P89" s="21"/>
      <c r="Q89" s="5"/>
      <c r="R89" s="6"/>
      <c r="S89" s="6"/>
      <c r="T89" s="22"/>
      <c r="U89" s="5"/>
      <c r="V89" s="6"/>
      <c r="W89" s="6"/>
      <c r="X89" s="6"/>
      <c r="Y89" s="6"/>
      <c r="Z89" s="22"/>
    </row>
    <row r="90" spans="1:26">
      <c r="A90" s="36">
        <v>91</v>
      </c>
      <c r="B90" s="30" t="s">
        <v>24</v>
      </c>
      <c r="C90" s="6">
        <v>12</v>
      </c>
      <c r="D90" s="30">
        <v>7</v>
      </c>
      <c r="E90" s="30" t="s">
        <v>14</v>
      </c>
      <c r="F90" s="40" t="s">
        <v>158</v>
      </c>
      <c r="G90" s="134">
        <v>42821</v>
      </c>
      <c r="H90" s="19">
        <v>42821</v>
      </c>
      <c r="I90" s="19"/>
      <c r="J90" s="92">
        <v>1</v>
      </c>
      <c r="K90" s="153">
        <v>1</v>
      </c>
      <c r="L90" s="157">
        <f t="shared" si="2"/>
        <v>12</v>
      </c>
      <c r="M90" s="161">
        <f t="shared" si="3"/>
        <v>0.6</v>
      </c>
      <c r="N90" s="32" t="s">
        <v>32</v>
      </c>
      <c r="O90" s="37">
        <v>42828</v>
      </c>
      <c r="P90" s="21"/>
      <c r="Q90" s="5">
        <v>2</v>
      </c>
      <c r="R90" s="6">
        <v>2</v>
      </c>
      <c r="S90" s="6">
        <v>2</v>
      </c>
      <c r="T90" s="22">
        <v>2</v>
      </c>
      <c r="U90" s="5">
        <v>2</v>
      </c>
      <c r="V90" s="6">
        <v>0</v>
      </c>
      <c r="W90" s="6">
        <v>0</v>
      </c>
      <c r="X90" s="6">
        <v>0</v>
      </c>
      <c r="Y90" s="6">
        <v>2</v>
      </c>
      <c r="Z90" s="22">
        <v>0</v>
      </c>
    </row>
    <row r="91" spans="1:26">
      <c r="A91" s="36">
        <v>92</v>
      </c>
      <c r="B91" s="30" t="s">
        <v>24</v>
      </c>
      <c r="C91" s="30">
        <v>13</v>
      </c>
      <c r="D91" s="30">
        <v>8</v>
      </c>
      <c r="E91" s="30" t="s">
        <v>15</v>
      </c>
      <c r="F91" s="40" t="s">
        <v>160</v>
      </c>
      <c r="G91" s="175"/>
      <c r="H91" s="19"/>
      <c r="I91" s="6"/>
      <c r="J91" s="92">
        <v>1</v>
      </c>
      <c r="K91" s="153">
        <v>1</v>
      </c>
      <c r="L91" s="157">
        <f t="shared" si="2"/>
        <v>0</v>
      </c>
      <c r="M91" s="161">
        <f t="shared" si="3"/>
        <v>0</v>
      </c>
      <c r="N91" s="32"/>
      <c r="O91" s="37"/>
      <c r="P91" s="21"/>
      <c r="Q91" s="5"/>
      <c r="R91" s="6"/>
      <c r="S91" s="6"/>
      <c r="T91" s="22"/>
      <c r="U91" s="5"/>
      <c r="V91" s="6"/>
      <c r="W91" s="6"/>
      <c r="X91" s="6"/>
      <c r="Y91" s="6"/>
      <c r="Z91" s="22"/>
    </row>
    <row r="92" spans="1:26">
      <c r="A92" s="36">
        <v>93</v>
      </c>
      <c r="B92" s="30" t="s">
        <v>24</v>
      </c>
      <c r="C92" s="6">
        <v>14</v>
      </c>
      <c r="D92" s="30">
        <v>7</v>
      </c>
      <c r="E92" s="30" t="s">
        <v>14</v>
      </c>
      <c r="F92" s="40" t="s">
        <v>161</v>
      </c>
      <c r="G92" s="134">
        <v>42821</v>
      </c>
      <c r="H92" s="19">
        <v>42821</v>
      </c>
      <c r="I92" s="6"/>
      <c r="J92" s="92">
        <v>1</v>
      </c>
      <c r="K92" s="153">
        <v>1</v>
      </c>
      <c r="L92" s="157">
        <f t="shared" si="2"/>
        <v>13</v>
      </c>
      <c r="M92" s="161">
        <f t="shared" si="3"/>
        <v>0.65</v>
      </c>
      <c r="N92" s="32" t="s">
        <v>30</v>
      </c>
      <c r="O92" s="123"/>
      <c r="P92" s="21"/>
      <c r="Q92" s="5">
        <v>3</v>
      </c>
      <c r="R92" s="6">
        <v>2</v>
      </c>
      <c r="S92" s="6">
        <v>3</v>
      </c>
      <c r="T92" s="22">
        <v>0</v>
      </c>
      <c r="U92" s="5">
        <v>2</v>
      </c>
      <c r="V92" s="6">
        <v>1</v>
      </c>
      <c r="W92" s="6">
        <v>0</v>
      </c>
      <c r="X92" s="6">
        <v>0</v>
      </c>
      <c r="Y92" s="6">
        <v>2</v>
      </c>
      <c r="Z92" s="22">
        <v>0</v>
      </c>
    </row>
    <row r="93" spans="1:26">
      <c r="A93" s="36">
        <v>94</v>
      </c>
      <c r="B93" s="30" t="s">
        <v>24</v>
      </c>
      <c r="C93" s="6">
        <v>15</v>
      </c>
      <c r="D93" s="30">
        <v>7</v>
      </c>
      <c r="E93" s="30" t="s">
        <v>9</v>
      </c>
      <c r="F93" s="40" t="s">
        <v>122</v>
      </c>
      <c r="G93" s="36"/>
      <c r="H93" s="19"/>
      <c r="I93" s="6"/>
      <c r="J93" s="92">
        <v>1</v>
      </c>
      <c r="K93" s="153">
        <v>1</v>
      </c>
      <c r="L93" s="157">
        <f t="shared" si="2"/>
        <v>0</v>
      </c>
      <c r="M93" s="161">
        <f t="shared" si="3"/>
        <v>0</v>
      </c>
      <c r="N93" s="32"/>
      <c r="O93" s="37"/>
      <c r="P93" s="21"/>
      <c r="Q93" s="5"/>
      <c r="R93" s="6"/>
      <c r="S93" s="6"/>
      <c r="T93" s="22"/>
      <c r="U93" s="5"/>
      <c r="V93" s="6"/>
      <c r="W93" s="6"/>
      <c r="X93" s="6"/>
      <c r="Y93" s="6"/>
      <c r="Z93" s="22"/>
    </row>
    <row r="94" spans="1:26">
      <c r="A94" s="36">
        <v>95</v>
      </c>
      <c r="B94" s="30" t="s">
        <v>24</v>
      </c>
      <c r="C94" s="30">
        <v>16</v>
      </c>
      <c r="D94" s="30">
        <v>8</v>
      </c>
      <c r="E94" s="30" t="s">
        <v>18</v>
      </c>
      <c r="F94" s="40" t="s">
        <v>164</v>
      </c>
      <c r="G94" s="36"/>
      <c r="H94" s="19"/>
      <c r="I94" s="6"/>
      <c r="J94" s="92">
        <v>1</v>
      </c>
      <c r="K94" s="153">
        <v>1</v>
      </c>
      <c r="L94" s="157">
        <f t="shared" si="2"/>
        <v>0</v>
      </c>
      <c r="M94" s="161">
        <f t="shared" si="3"/>
        <v>0</v>
      </c>
      <c r="N94" s="32"/>
      <c r="O94" s="37"/>
      <c r="P94" s="21"/>
      <c r="Q94" s="5"/>
      <c r="R94" s="6"/>
      <c r="S94" s="6"/>
      <c r="T94" s="22"/>
      <c r="U94" s="5"/>
      <c r="V94" s="6"/>
      <c r="W94" s="6"/>
      <c r="X94" s="6"/>
      <c r="Y94" s="6"/>
      <c r="Z94" s="22"/>
    </row>
    <row r="95" spans="1:26">
      <c r="A95" s="36">
        <v>96</v>
      </c>
      <c r="B95" s="30" t="s">
        <v>24</v>
      </c>
      <c r="C95" s="6">
        <v>17</v>
      </c>
      <c r="D95" s="30">
        <v>8</v>
      </c>
      <c r="E95" s="30" t="s">
        <v>80</v>
      </c>
      <c r="F95" s="40" t="s">
        <v>165</v>
      </c>
      <c r="G95" s="36"/>
      <c r="H95" s="19"/>
      <c r="I95" s="19"/>
      <c r="J95" s="92">
        <v>1</v>
      </c>
      <c r="K95" s="153">
        <v>1</v>
      </c>
      <c r="L95" s="157">
        <f t="shared" si="2"/>
        <v>0</v>
      </c>
      <c r="M95" s="161">
        <f t="shared" si="3"/>
        <v>0</v>
      </c>
      <c r="N95" s="32"/>
      <c r="O95" s="37"/>
      <c r="P95" s="21"/>
      <c r="Q95" s="5"/>
      <c r="R95" s="6"/>
      <c r="S95" s="6"/>
      <c r="T95" s="22"/>
      <c r="U95" s="5"/>
      <c r="V95" s="6"/>
      <c r="W95" s="6"/>
      <c r="X95" s="6"/>
      <c r="Y95" s="6"/>
      <c r="Z95" s="22"/>
    </row>
    <row r="96" spans="1:26">
      <c r="A96" s="36">
        <v>97</v>
      </c>
      <c r="B96" s="30" t="s">
        <v>24</v>
      </c>
      <c r="C96" s="30">
        <v>18</v>
      </c>
      <c r="D96" s="30">
        <v>7</v>
      </c>
      <c r="E96" s="30" t="s">
        <v>65</v>
      </c>
      <c r="F96" s="40" t="s">
        <v>61</v>
      </c>
      <c r="G96" s="134">
        <v>42821</v>
      </c>
      <c r="H96" s="19">
        <v>42821</v>
      </c>
      <c r="I96" s="19"/>
      <c r="J96" s="92">
        <v>1</v>
      </c>
      <c r="K96" s="153">
        <v>1</v>
      </c>
      <c r="L96" s="157">
        <f t="shared" si="2"/>
        <v>12</v>
      </c>
      <c r="M96" s="161">
        <f t="shared" si="3"/>
        <v>0.6</v>
      </c>
      <c r="N96" s="32" t="s">
        <v>32</v>
      </c>
      <c r="O96" s="37">
        <v>42828</v>
      </c>
      <c r="P96" s="21"/>
      <c r="Q96" s="5">
        <v>2</v>
      </c>
      <c r="R96" s="6">
        <v>2</v>
      </c>
      <c r="S96" s="6">
        <v>2</v>
      </c>
      <c r="T96" s="22">
        <v>2</v>
      </c>
      <c r="U96" s="5">
        <v>2</v>
      </c>
      <c r="V96" s="6">
        <v>0</v>
      </c>
      <c r="W96" s="6">
        <v>0</v>
      </c>
      <c r="X96" s="6">
        <v>0</v>
      </c>
      <c r="Y96" s="6">
        <v>2</v>
      </c>
      <c r="Z96" s="22">
        <v>0</v>
      </c>
    </row>
    <row r="97" spans="1:26">
      <c r="A97" s="36">
        <v>98</v>
      </c>
      <c r="B97" s="30" t="s">
        <v>24</v>
      </c>
      <c r="C97" s="6">
        <v>19</v>
      </c>
      <c r="D97" s="30">
        <v>7</v>
      </c>
      <c r="E97" s="30" t="s">
        <v>193</v>
      </c>
      <c r="F97" s="40" t="s">
        <v>166</v>
      </c>
      <c r="G97" s="36"/>
      <c r="H97" s="19"/>
      <c r="I97" s="6" t="s">
        <v>308</v>
      </c>
      <c r="J97" s="92">
        <v>1</v>
      </c>
      <c r="K97" s="153">
        <v>1</v>
      </c>
      <c r="L97" s="157">
        <f t="shared" si="2"/>
        <v>0</v>
      </c>
      <c r="M97" s="161">
        <f t="shared" si="3"/>
        <v>0</v>
      </c>
      <c r="N97" s="32"/>
      <c r="O97" s="37"/>
      <c r="P97" s="21"/>
      <c r="Q97" s="5"/>
      <c r="R97" s="6"/>
      <c r="S97" s="6"/>
      <c r="T97" s="22"/>
      <c r="U97" s="5"/>
      <c r="V97" s="6"/>
      <c r="W97" s="6"/>
      <c r="X97" s="6"/>
      <c r="Y97" s="6"/>
      <c r="Z97" s="22"/>
    </row>
    <row r="98" spans="1:26">
      <c r="A98" s="36">
        <v>99</v>
      </c>
      <c r="B98" s="30" t="s">
        <v>24</v>
      </c>
      <c r="C98" s="30">
        <v>20</v>
      </c>
      <c r="D98" s="30">
        <v>8</v>
      </c>
      <c r="E98" s="30" t="s">
        <v>11</v>
      </c>
      <c r="F98" s="40" t="s">
        <v>56</v>
      </c>
      <c r="G98" s="175"/>
      <c r="H98" s="19"/>
      <c r="I98" s="19"/>
      <c r="J98" s="92">
        <v>1</v>
      </c>
      <c r="K98" s="153">
        <v>1</v>
      </c>
      <c r="L98" s="157">
        <f t="shared" si="2"/>
        <v>0</v>
      </c>
      <c r="M98" s="161">
        <f t="shared" si="3"/>
        <v>0</v>
      </c>
      <c r="N98" s="32"/>
      <c r="O98" s="37"/>
      <c r="P98" s="21"/>
      <c r="Q98" s="5"/>
      <c r="R98" s="6"/>
      <c r="S98" s="6"/>
      <c r="T98" s="22"/>
      <c r="U98" s="5"/>
      <c r="V98" s="6"/>
      <c r="W98" s="6"/>
      <c r="X98" s="6"/>
      <c r="Y98" s="6"/>
      <c r="Z98" s="22"/>
    </row>
    <row r="99" spans="1:26">
      <c r="A99" s="36">
        <v>100</v>
      </c>
      <c r="B99" s="30" t="s">
        <v>24</v>
      </c>
      <c r="C99" s="6">
        <v>21</v>
      </c>
      <c r="D99" s="30">
        <v>8</v>
      </c>
      <c r="E99" s="30" t="s">
        <v>19</v>
      </c>
      <c r="F99" s="40" t="s">
        <v>167</v>
      </c>
      <c r="G99" s="175"/>
      <c r="H99" s="19"/>
      <c r="I99" s="19"/>
      <c r="J99" s="92">
        <v>1</v>
      </c>
      <c r="K99" s="153">
        <v>1</v>
      </c>
      <c r="L99" s="157">
        <f t="shared" si="2"/>
        <v>0</v>
      </c>
      <c r="M99" s="161">
        <f t="shared" si="3"/>
        <v>0</v>
      </c>
      <c r="N99" s="32"/>
      <c r="O99" s="37"/>
      <c r="P99" s="21"/>
      <c r="Q99" s="5"/>
      <c r="R99" s="6"/>
      <c r="S99" s="6"/>
      <c r="T99" s="22"/>
      <c r="U99" s="5"/>
      <c r="V99" s="6"/>
      <c r="W99" s="6"/>
      <c r="X99" s="6"/>
      <c r="Y99" s="6"/>
      <c r="Z99" s="22"/>
    </row>
    <row r="100" spans="1:26">
      <c r="A100" s="36">
        <v>101</v>
      </c>
      <c r="B100" s="30" t="s">
        <v>24</v>
      </c>
      <c r="C100" s="30">
        <v>22</v>
      </c>
      <c r="D100" s="30">
        <v>7</v>
      </c>
      <c r="E100" s="30" t="s">
        <v>18</v>
      </c>
      <c r="F100" s="40" t="s">
        <v>168</v>
      </c>
      <c r="G100" s="134">
        <v>42821</v>
      </c>
      <c r="H100" s="19">
        <v>42821</v>
      </c>
      <c r="I100" s="6"/>
      <c r="J100" s="92">
        <v>1</v>
      </c>
      <c r="K100" s="153">
        <v>1</v>
      </c>
      <c r="L100" s="157">
        <f t="shared" si="2"/>
        <v>13</v>
      </c>
      <c r="M100" s="161">
        <f t="shared" si="3"/>
        <v>0.65</v>
      </c>
      <c r="N100" s="32" t="s">
        <v>30</v>
      </c>
      <c r="O100" s="123"/>
      <c r="P100" s="21"/>
      <c r="Q100" s="5">
        <v>3</v>
      </c>
      <c r="R100" s="6">
        <v>2</v>
      </c>
      <c r="S100" s="6">
        <v>3</v>
      </c>
      <c r="T100" s="22">
        <v>0</v>
      </c>
      <c r="U100" s="5">
        <v>2</v>
      </c>
      <c r="V100" s="6">
        <v>1</v>
      </c>
      <c r="W100" s="6">
        <v>0</v>
      </c>
      <c r="X100" s="6">
        <v>0</v>
      </c>
      <c r="Y100" s="6">
        <v>2</v>
      </c>
      <c r="Z100" s="22">
        <v>0</v>
      </c>
    </row>
    <row r="101" spans="1:26">
      <c r="A101" s="36">
        <v>102</v>
      </c>
      <c r="B101" s="30" t="s">
        <v>24</v>
      </c>
      <c r="C101" s="6">
        <v>23</v>
      </c>
      <c r="D101" s="30">
        <v>8</v>
      </c>
      <c r="E101" s="30" t="s">
        <v>65</v>
      </c>
      <c r="F101" s="22" t="s">
        <v>169</v>
      </c>
      <c r="G101" s="5"/>
      <c r="H101" s="19"/>
      <c r="I101" s="6"/>
      <c r="J101" s="92">
        <v>1</v>
      </c>
      <c r="K101" s="153">
        <v>1</v>
      </c>
      <c r="L101" s="157">
        <f t="shared" si="2"/>
        <v>0</v>
      </c>
      <c r="M101" s="161">
        <f t="shared" si="3"/>
        <v>0</v>
      </c>
      <c r="N101" s="32"/>
      <c r="O101" s="37"/>
      <c r="P101" s="21"/>
      <c r="Q101" s="5"/>
      <c r="R101" s="6"/>
      <c r="S101" s="6"/>
      <c r="T101" s="22"/>
      <c r="U101" s="5"/>
      <c r="V101" s="6"/>
      <c r="W101" s="6"/>
      <c r="X101" s="6"/>
      <c r="Y101" s="6"/>
      <c r="Z101" s="22"/>
    </row>
    <row r="102" spans="1:26">
      <c r="A102" s="36">
        <v>103</v>
      </c>
      <c r="B102" s="30" t="s">
        <v>24</v>
      </c>
      <c r="C102" s="30">
        <v>24</v>
      </c>
      <c r="D102" s="30">
        <v>8</v>
      </c>
      <c r="E102" s="30" t="s">
        <v>40</v>
      </c>
      <c r="F102" s="40" t="s">
        <v>60</v>
      </c>
      <c r="G102" s="36"/>
      <c r="H102" s="19"/>
      <c r="I102" s="19"/>
      <c r="J102" s="92">
        <v>1</v>
      </c>
      <c r="K102" s="153">
        <v>1</v>
      </c>
      <c r="L102" s="157">
        <f t="shared" si="2"/>
        <v>0</v>
      </c>
      <c r="M102" s="161">
        <f t="shared" si="3"/>
        <v>0</v>
      </c>
      <c r="N102" s="32"/>
      <c r="O102" s="37"/>
      <c r="P102" s="21"/>
      <c r="Q102" s="5"/>
      <c r="R102" s="6"/>
      <c r="S102" s="6"/>
      <c r="T102" s="22"/>
      <c r="U102" s="5"/>
      <c r="V102" s="6"/>
      <c r="W102" s="6"/>
      <c r="X102" s="6"/>
      <c r="Y102" s="6"/>
      <c r="Z102" s="22"/>
    </row>
    <row r="103" spans="1:26">
      <c r="A103" s="36">
        <v>104</v>
      </c>
      <c r="B103" s="30" t="s">
        <v>24</v>
      </c>
      <c r="C103" s="6">
        <v>25</v>
      </c>
      <c r="D103" s="30">
        <v>8</v>
      </c>
      <c r="E103" s="30" t="s">
        <v>0</v>
      </c>
      <c r="F103" s="40" t="s">
        <v>105</v>
      </c>
      <c r="G103" s="36"/>
      <c r="H103" s="19"/>
      <c r="I103" s="6"/>
      <c r="J103" s="92">
        <v>1</v>
      </c>
      <c r="K103" s="153">
        <v>1</v>
      </c>
      <c r="L103" s="157">
        <f t="shared" si="2"/>
        <v>0</v>
      </c>
      <c r="M103" s="161">
        <f t="shared" si="3"/>
        <v>0</v>
      </c>
      <c r="N103" s="32"/>
      <c r="O103" s="37"/>
      <c r="P103" s="21"/>
      <c r="Q103" s="5"/>
      <c r="R103" s="6"/>
      <c r="S103" s="6"/>
      <c r="T103" s="22"/>
      <c r="U103" s="5"/>
      <c r="V103" s="6"/>
      <c r="W103" s="6"/>
      <c r="X103" s="6"/>
      <c r="Y103" s="6"/>
      <c r="Z103" s="22"/>
    </row>
    <row r="104" spans="1:26">
      <c r="A104" s="36">
        <v>105</v>
      </c>
      <c r="B104" s="30" t="s">
        <v>24</v>
      </c>
      <c r="C104" s="30">
        <v>26</v>
      </c>
      <c r="D104" s="30">
        <v>7</v>
      </c>
      <c r="E104" s="30" t="s">
        <v>177</v>
      </c>
      <c r="F104" s="40" t="s">
        <v>170</v>
      </c>
      <c r="G104" s="134">
        <v>42821</v>
      </c>
      <c r="H104" s="19">
        <v>42821</v>
      </c>
      <c r="I104" s="6"/>
      <c r="J104" s="92">
        <v>1</v>
      </c>
      <c r="K104" s="153">
        <v>1</v>
      </c>
      <c r="L104" s="157">
        <f t="shared" si="2"/>
        <v>11</v>
      </c>
      <c r="M104" s="161">
        <f t="shared" si="3"/>
        <v>0.55000000000000004</v>
      </c>
      <c r="N104" s="32">
        <v>3</v>
      </c>
      <c r="O104" s="37">
        <v>42828</v>
      </c>
      <c r="P104" s="21"/>
      <c r="Q104" s="5">
        <v>2</v>
      </c>
      <c r="R104" s="6">
        <v>2</v>
      </c>
      <c r="S104" s="6">
        <v>2</v>
      </c>
      <c r="T104" s="22">
        <v>2</v>
      </c>
      <c r="U104" s="5">
        <v>1</v>
      </c>
      <c r="V104" s="6">
        <v>0</v>
      </c>
      <c r="W104" s="6">
        <v>0</v>
      </c>
      <c r="X104" s="6">
        <v>0</v>
      </c>
      <c r="Y104" s="6">
        <v>2</v>
      </c>
      <c r="Z104" s="22">
        <v>0</v>
      </c>
    </row>
    <row r="105" spans="1:26">
      <c r="A105" s="36">
        <v>106</v>
      </c>
      <c r="B105" s="30" t="s">
        <v>24</v>
      </c>
      <c r="C105" s="6">
        <v>27</v>
      </c>
      <c r="D105" s="30">
        <v>7</v>
      </c>
      <c r="E105" s="30" t="s">
        <v>192</v>
      </c>
      <c r="F105" s="40" t="s">
        <v>171</v>
      </c>
      <c r="G105" s="36"/>
      <c r="H105" s="19"/>
      <c r="I105" s="6" t="s">
        <v>308</v>
      </c>
      <c r="J105" s="92">
        <v>1</v>
      </c>
      <c r="K105" s="153">
        <v>1</v>
      </c>
      <c r="L105" s="157">
        <f t="shared" si="2"/>
        <v>0</v>
      </c>
      <c r="M105" s="161">
        <f t="shared" si="3"/>
        <v>0</v>
      </c>
      <c r="N105" s="32"/>
      <c r="O105" s="37"/>
      <c r="P105" s="21"/>
      <c r="Q105" s="5"/>
      <c r="R105" s="6"/>
      <c r="S105" s="6"/>
      <c r="T105" s="22"/>
      <c r="U105" s="5"/>
      <c r="V105" s="6"/>
      <c r="W105" s="6"/>
      <c r="X105" s="6"/>
      <c r="Y105" s="6"/>
      <c r="Z105" s="22"/>
    </row>
    <row r="106" spans="1:26">
      <c r="A106" s="36">
        <v>107</v>
      </c>
      <c r="B106" s="30" t="s">
        <v>24</v>
      </c>
      <c r="C106" s="30">
        <v>28</v>
      </c>
      <c r="D106" s="30">
        <v>8</v>
      </c>
      <c r="E106" s="30" t="s">
        <v>68</v>
      </c>
      <c r="F106" s="40" t="s">
        <v>53</v>
      </c>
      <c r="G106" s="175"/>
      <c r="H106" s="19"/>
      <c r="I106" s="19"/>
      <c r="J106" s="92">
        <v>1</v>
      </c>
      <c r="K106" s="153">
        <v>1</v>
      </c>
      <c r="L106" s="157">
        <f t="shared" si="2"/>
        <v>0</v>
      </c>
      <c r="M106" s="161">
        <f t="shared" si="3"/>
        <v>0</v>
      </c>
      <c r="N106" s="32"/>
      <c r="O106" s="37"/>
      <c r="P106" s="21"/>
      <c r="Q106" s="5"/>
      <c r="R106" s="6"/>
      <c r="S106" s="6"/>
      <c r="T106" s="22"/>
      <c r="U106" s="5"/>
      <c r="V106" s="6"/>
      <c r="W106" s="6"/>
      <c r="X106" s="6"/>
      <c r="Y106" s="6"/>
      <c r="Z106" s="22"/>
    </row>
    <row r="107" spans="1:26">
      <c r="A107" s="36">
        <v>108</v>
      </c>
      <c r="B107" s="30" t="s">
        <v>24</v>
      </c>
      <c r="C107" s="6">
        <v>29</v>
      </c>
      <c r="D107" s="30">
        <v>7</v>
      </c>
      <c r="E107" s="30" t="s">
        <v>48</v>
      </c>
      <c r="F107" s="40" t="s">
        <v>172</v>
      </c>
      <c r="G107" s="36"/>
      <c r="H107" s="19"/>
      <c r="I107" s="6" t="s">
        <v>308</v>
      </c>
      <c r="J107" s="92">
        <v>1</v>
      </c>
      <c r="K107" s="153">
        <v>1</v>
      </c>
      <c r="L107" s="157">
        <f t="shared" si="2"/>
        <v>0</v>
      </c>
      <c r="M107" s="161">
        <f t="shared" si="3"/>
        <v>0</v>
      </c>
      <c r="N107" s="32"/>
      <c r="O107" s="37"/>
      <c r="P107" s="21"/>
      <c r="Q107" s="5"/>
      <c r="R107" s="6"/>
      <c r="S107" s="6"/>
      <c r="T107" s="22"/>
      <c r="U107" s="5"/>
      <c r="V107" s="6"/>
      <c r="W107" s="6"/>
      <c r="X107" s="6"/>
      <c r="Y107" s="6"/>
      <c r="Z107" s="22"/>
    </row>
    <row r="108" spans="1:26" ht="15" thickBot="1">
      <c r="A108" s="38">
        <v>109</v>
      </c>
      <c r="B108" s="31" t="s">
        <v>24</v>
      </c>
      <c r="C108" s="24">
        <v>31</v>
      </c>
      <c r="D108" s="31">
        <v>7</v>
      </c>
      <c r="E108" s="24" t="s">
        <v>162</v>
      </c>
      <c r="F108" s="28" t="s">
        <v>163</v>
      </c>
      <c r="G108" s="129">
        <v>42821</v>
      </c>
      <c r="H108" s="25">
        <v>42821</v>
      </c>
      <c r="I108" s="24"/>
      <c r="J108" s="93">
        <v>1</v>
      </c>
      <c r="K108" s="154">
        <v>1</v>
      </c>
      <c r="L108" s="158">
        <f t="shared" si="2"/>
        <v>11</v>
      </c>
      <c r="M108" s="162">
        <f t="shared" si="3"/>
        <v>0.55000000000000004</v>
      </c>
      <c r="N108" s="51">
        <v>3</v>
      </c>
      <c r="O108" s="99">
        <v>42828</v>
      </c>
      <c r="P108" s="27"/>
      <c r="Q108" s="23">
        <v>2</v>
      </c>
      <c r="R108" s="24">
        <v>2</v>
      </c>
      <c r="S108" s="24">
        <v>2</v>
      </c>
      <c r="T108" s="28">
        <v>2</v>
      </c>
      <c r="U108" s="23">
        <v>1</v>
      </c>
      <c r="V108" s="24">
        <v>0</v>
      </c>
      <c r="W108" s="24">
        <v>0</v>
      </c>
      <c r="X108" s="24">
        <v>0</v>
      </c>
      <c r="Y108" s="24">
        <v>2</v>
      </c>
      <c r="Z108" s="28">
        <v>0</v>
      </c>
    </row>
  </sheetData>
  <autoFilter ref="A1:Z108">
    <filterColumn colId="3">
      <filters blank="1">
        <filter val="5"/>
        <filter val="6"/>
        <filter val="7"/>
        <filter val="8"/>
      </filters>
    </filterColumn>
    <sortState ref="A4:U32">
      <sortCondition ref="C1:C175"/>
    </sortState>
  </autoFilter>
  <mergeCells count="12">
    <mergeCell ref="N1:N2"/>
    <mergeCell ref="A1:A2"/>
    <mergeCell ref="B1:B2"/>
    <mergeCell ref="C1:C2"/>
    <mergeCell ref="D1:D2"/>
    <mergeCell ref="E1:E2"/>
    <mergeCell ref="F1:F2"/>
    <mergeCell ref="G1:G2"/>
    <mergeCell ref="H1:H2"/>
    <mergeCell ref="J1:J2"/>
    <mergeCell ref="K1:K2"/>
    <mergeCell ref="M1:M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Y111"/>
  <sheetViews>
    <sheetView workbookViewId="0">
      <pane xSplit="6" ySplit="2" topLeftCell="H69" activePane="bottomRight" state="frozen"/>
      <selection pane="topRight" activeCell="G1" sqref="G1"/>
      <selection pane="bottomLeft" activeCell="A3" sqref="A3"/>
      <selection pane="bottomRight" activeCell="H113" sqref="H113:H115"/>
    </sheetView>
  </sheetViews>
  <sheetFormatPr defaultColWidth="9.109375" defaultRowHeight="14.4"/>
  <cols>
    <col min="1" max="4" width="5.6640625" style="10" customWidth="1"/>
    <col min="5" max="6" width="17.6640625" style="10" customWidth="1"/>
    <col min="7" max="8" width="14.88671875" style="10" customWidth="1"/>
    <col min="9" max="9" width="17.6640625" style="10" customWidth="1"/>
    <col min="10" max="10" width="5.6640625" style="10" customWidth="1"/>
    <col min="11" max="11" width="5.6640625" style="29" customWidth="1"/>
    <col min="12" max="12" width="5.6640625" style="10" customWidth="1"/>
    <col min="13" max="13" width="6.88671875" style="10" customWidth="1"/>
    <col min="14" max="14" width="5.6640625" style="10" customWidth="1"/>
    <col min="15" max="15" width="15.6640625" style="10" customWidth="1"/>
    <col min="16" max="25" width="6.33203125" style="10" customWidth="1"/>
    <col min="26" max="16384" width="9.109375" style="10"/>
  </cols>
  <sheetData>
    <row r="1" spans="1:25" ht="80.400000000000006" thickBot="1">
      <c r="A1" s="596" t="s">
        <v>3</v>
      </c>
      <c r="B1" s="596" t="s">
        <v>4</v>
      </c>
      <c r="C1" s="596" t="s">
        <v>6</v>
      </c>
      <c r="D1" s="597" t="s">
        <v>5</v>
      </c>
      <c r="E1" s="596" t="s">
        <v>202</v>
      </c>
      <c r="F1" s="596" t="s">
        <v>42</v>
      </c>
      <c r="G1" s="583" t="s">
        <v>200</v>
      </c>
      <c r="H1" s="585" t="s">
        <v>201</v>
      </c>
      <c r="I1" s="176" t="s">
        <v>203</v>
      </c>
      <c r="J1" s="589" t="s">
        <v>204</v>
      </c>
      <c r="K1" s="587" t="s">
        <v>205</v>
      </c>
      <c r="L1" s="141" t="s">
        <v>206</v>
      </c>
      <c r="M1" s="591" t="s">
        <v>29</v>
      </c>
      <c r="N1" s="581" t="s">
        <v>28</v>
      </c>
      <c r="O1" s="50" t="s">
        <v>207</v>
      </c>
      <c r="P1" s="48" t="s">
        <v>312</v>
      </c>
      <c r="Q1" s="181" t="s">
        <v>313</v>
      </c>
      <c r="R1" s="181" t="s">
        <v>314</v>
      </c>
      <c r="S1" s="181" t="s">
        <v>315</v>
      </c>
      <c r="T1" s="181" t="s">
        <v>316</v>
      </c>
      <c r="U1" s="181" t="s">
        <v>317</v>
      </c>
      <c r="V1" s="181" t="s">
        <v>318</v>
      </c>
      <c r="W1" s="181" t="s">
        <v>321</v>
      </c>
      <c r="X1" s="181" t="s">
        <v>320</v>
      </c>
      <c r="Y1" s="50" t="s">
        <v>319</v>
      </c>
    </row>
    <row r="2" spans="1:25" ht="15" hidden="1" thickBot="1">
      <c r="A2" s="596"/>
      <c r="B2" s="596"/>
      <c r="C2" s="596"/>
      <c r="D2" s="598"/>
      <c r="E2" s="596"/>
      <c r="F2" s="596"/>
      <c r="G2" s="599"/>
      <c r="H2" s="595"/>
      <c r="I2" s="183"/>
      <c r="J2" s="600"/>
      <c r="K2" s="598"/>
      <c r="L2" s="182">
        <v>1000</v>
      </c>
      <c r="M2" s="593"/>
      <c r="N2" s="594"/>
      <c r="O2" s="142"/>
      <c r="P2" s="185">
        <v>100</v>
      </c>
      <c r="Q2" s="184">
        <v>150</v>
      </c>
      <c r="R2" s="184">
        <v>150</v>
      </c>
      <c r="S2" s="184">
        <v>200</v>
      </c>
      <c r="T2" s="184">
        <v>100</v>
      </c>
      <c r="U2" s="184">
        <v>200</v>
      </c>
      <c r="V2" s="184">
        <v>200</v>
      </c>
      <c r="W2" s="184">
        <v>100</v>
      </c>
      <c r="X2" s="184">
        <v>0</v>
      </c>
      <c r="Y2" s="142">
        <v>0</v>
      </c>
    </row>
    <row r="3" spans="1:25" ht="15" hidden="1" thickBot="1">
      <c r="A3" s="35">
        <v>1</v>
      </c>
      <c r="B3" s="33" t="s">
        <v>21</v>
      </c>
      <c r="C3" s="33">
        <v>1</v>
      </c>
      <c r="D3" s="33">
        <v>2</v>
      </c>
      <c r="E3" s="33" t="s">
        <v>180</v>
      </c>
      <c r="F3" s="33" t="s">
        <v>50</v>
      </c>
      <c r="G3" s="140">
        <v>42892</v>
      </c>
      <c r="H3" s="14">
        <v>42891</v>
      </c>
      <c r="I3" s="4"/>
      <c r="J3" s="94">
        <v>1</v>
      </c>
      <c r="K3" s="152">
        <v>0</v>
      </c>
      <c r="L3" s="156">
        <f t="shared" ref="L3:L34" si="0">SUM(P3:Y3)</f>
        <v>716.89189189189256</v>
      </c>
      <c r="M3" s="160">
        <f t="shared" ref="M3:M34" si="1">L3/$L$2</f>
        <v>0.71689189189189251</v>
      </c>
      <c r="N3" s="192">
        <v>3</v>
      </c>
      <c r="O3" s="125"/>
      <c r="P3" s="189">
        <v>96</v>
      </c>
      <c r="Q3" s="186">
        <v>141.8918918918925</v>
      </c>
      <c r="R3" s="186">
        <v>0</v>
      </c>
      <c r="S3" s="186">
        <v>135</v>
      </c>
      <c r="T3" s="186">
        <v>84</v>
      </c>
      <c r="U3" s="186">
        <v>160</v>
      </c>
      <c r="V3" s="4"/>
      <c r="W3" s="4"/>
      <c r="X3" s="4">
        <v>100</v>
      </c>
      <c r="Y3" s="17"/>
    </row>
    <row r="4" spans="1:25" ht="15" hidden="1" thickBot="1">
      <c r="A4" s="36">
        <v>2</v>
      </c>
      <c r="B4" s="30" t="s">
        <v>21</v>
      </c>
      <c r="C4" s="30">
        <v>2</v>
      </c>
      <c r="D4" s="30">
        <v>2</v>
      </c>
      <c r="E4" s="30" t="s">
        <v>15</v>
      </c>
      <c r="F4" s="30" t="s">
        <v>83</v>
      </c>
      <c r="G4" s="134">
        <v>42892</v>
      </c>
      <c r="H4" s="19">
        <v>42891</v>
      </c>
      <c r="I4" s="6"/>
      <c r="J4" s="92">
        <v>1</v>
      </c>
      <c r="K4" s="153">
        <v>0</v>
      </c>
      <c r="L4" s="157">
        <f t="shared" si="0"/>
        <v>502.7572972972975</v>
      </c>
      <c r="M4" s="161">
        <f t="shared" si="1"/>
        <v>0.50275729729729746</v>
      </c>
      <c r="N4" s="193">
        <v>3</v>
      </c>
      <c r="O4" s="123"/>
      <c r="P4" s="190">
        <v>0</v>
      </c>
      <c r="Q4" s="187">
        <v>97.297297297297504</v>
      </c>
      <c r="R4" s="187">
        <v>95.46</v>
      </c>
      <c r="S4" s="187">
        <v>112.00000000000001</v>
      </c>
      <c r="T4" s="187">
        <v>88</v>
      </c>
      <c r="U4" s="187">
        <v>110.00000000000001</v>
      </c>
      <c r="V4" s="6"/>
      <c r="W4" s="6"/>
      <c r="X4" s="6"/>
      <c r="Y4" s="22"/>
    </row>
    <row r="5" spans="1:25" ht="15" hidden="1" thickBot="1">
      <c r="A5" s="36">
        <v>3</v>
      </c>
      <c r="B5" s="30" t="s">
        <v>21</v>
      </c>
      <c r="C5" s="30">
        <v>3</v>
      </c>
      <c r="D5" s="30">
        <v>1</v>
      </c>
      <c r="E5" s="30" t="s">
        <v>48</v>
      </c>
      <c r="F5" s="30" t="s">
        <v>84</v>
      </c>
      <c r="G5" s="134">
        <v>42892</v>
      </c>
      <c r="H5" s="19">
        <v>42891</v>
      </c>
      <c r="I5" s="6"/>
      <c r="J5" s="92">
        <v>1</v>
      </c>
      <c r="K5" s="153">
        <v>0</v>
      </c>
      <c r="L5" s="157">
        <f t="shared" si="0"/>
        <v>255.29729729729752</v>
      </c>
      <c r="M5" s="161">
        <f t="shared" si="1"/>
        <v>0.2552972972972975</v>
      </c>
      <c r="N5" s="193" t="s">
        <v>322</v>
      </c>
      <c r="O5" s="37"/>
      <c r="P5" s="190">
        <v>36</v>
      </c>
      <c r="Q5" s="187">
        <v>97.297297297297504</v>
      </c>
      <c r="R5" s="187">
        <v>0</v>
      </c>
      <c r="S5" s="187">
        <v>0</v>
      </c>
      <c r="T5" s="187">
        <v>12</v>
      </c>
      <c r="U5" s="187">
        <v>110.00000000000001</v>
      </c>
      <c r="V5" s="204"/>
      <c r="W5" s="6"/>
      <c r="X5" s="6"/>
      <c r="Y5" s="22"/>
    </row>
    <row r="6" spans="1:25" ht="15" hidden="1" thickBot="1">
      <c r="A6" s="36">
        <v>4</v>
      </c>
      <c r="B6" s="6" t="s">
        <v>21</v>
      </c>
      <c r="C6" s="6">
        <v>4</v>
      </c>
      <c r="D6" s="30">
        <v>2</v>
      </c>
      <c r="E6" s="6" t="s">
        <v>66</v>
      </c>
      <c r="F6" s="6" t="s">
        <v>85</v>
      </c>
      <c r="G6" s="134">
        <v>42892</v>
      </c>
      <c r="H6" s="19">
        <v>42891</v>
      </c>
      <c r="I6" s="6"/>
      <c r="J6" s="92">
        <v>1</v>
      </c>
      <c r="K6" s="153">
        <v>0</v>
      </c>
      <c r="L6" s="157">
        <f t="shared" si="0"/>
        <v>624.51891891891898</v>
      </c>
      <c r="M6" s="161">
        <f t="shared" si="1"/>
        <v>0.62451891891891897</v>
      </c>
      <c r="N6" s="193" t="s">
        <v>311</v>
      </c>
      <c r="O6" s="37"/>
      <c r="P6" s="190">
        <v>88</v>
      </c>
      <c r="Q6" s="187">
        <v>68.91891891891899</v>
      </c>
      <c r="R6" s="187">
        <v>0</v>
      </c>
      <c r="S6" s="187">
        <v>91.600000000000009</v>
      </c>
      <c r="T6" s="187">
        <v>36</v>
      </c>
      <c r="U6" s="187">
        <v>140</v>
      </c>
      <c r="V6" s="6"/>
      <c r="W6" s="6"/>
      <c r="X6" s="6"/>
      <c r="Y6" s="22">
        <v>200</v>
      </c>
    </row>
    <row r="7" spans="1:25" ht="15" hidden="1" thickBot="1">
      <c r="A7" s="36">
        <v>5</v>
      </c>
      <c r="B7" s="6" t="s">
        <v>21</v>
      </c>
      <c r="C7" s="6">
        <v>5</v>
      </c>
      <c r="D7" s="30">
        <v>1</v>
      </c>
      <c r="E7" s="6" t="s">
        <v>19</v>
      </c>
      <c r="F7" s="6" t="s">
        <v>86</v>
      </c>
      <c r="G7" s="134">
        <v>42892</v>
      </c>
      <c r="H7" s="19">
        <v>42891</v>
      </c>
      <c r="I7" s="6"/>
      <c r="J7" s="92">
        <v>1</v>
      </c>
      <c r="K7" s="153">
        <v>0</v>
      </c>
      <c r="L7" s="157">
        <f t="shared" si="0"/>
        <v>459.04324324324301</v>
      </c>
      <c r="M7" s="161">
        <f t="shared" si="1"/>
        <v>0.45904324324324303</v>
      </c>
      <c r="N7" s="193">
        <v>3</v>
      </c>
      <c r="O7" s="37"/>
      <c r="P7" s="190">
        <v>64</v>
      </c>
      <c r="Q7" s="187">
        <v>93.243243243243001</v>
      </c>
      <c r="R7" s="187">
        <v>3</v>
      </c>
      <c r="S7" s="187">
        <v>126.8</v>
      </c>
      <c r="T7" s="187">
        <v>92</v>
      </c>
      <c r="U7" s="187">
        <v>80</v>
      </c>
      <c r="V7" s="6" t="s">
        <v>325</v>
      </c>
      <c r="W7" s="6"/>
      <c r="X7" s="6"/>
      <c r="Y7" s="22"/>
    </row>
    <row r="8" spans="1:25" ht="15" hidden="1" thickBot="1">
      <c r="A8" s="36">
        <v>6</v>
      </c>
      <c r="B8" s="6" t="s">
        <v>21</v>
      </c>
      <c r="C8" s="6">
        <v>6</v>
      </c>
      <c r="D8" s="30">
        <v>2</v>
      </c>
      <c r="E8" s="6" t="s">
        <v>179</v>
      </c>
      <c r="F8" s="6" t="s">
        <v>87</v>
      </c>
      <c r="G8" s="134">
        <v>42892</v>
      </c>
      <c r="H8" s="19">
        <v>42891</v>
      </c>
      <c r="I8" s="6"/>
      <c r="J8" s="92">
        <v>1</v>
      </c>
      <c r="K8" s="153">
        <v>0</v>
      </c>
      <c r="L8" s="157">
        <f t="shared" si="0"/>
        <v>1000.76</v>
      </c>
      <c r="M8" s="161">
        <f t="shared" si="1"/>
        <v>1.0007600000000001</v>
      </c>
      <c r="N8" s="193">
        <v>6</v>
      </c>
      <c r="O8" s="37"/>
      <c r="P8" s="190">
        <v>96</v>
      </c>
      <c r="Q8" s="187">
        <v>150</v>
      </c>
      <c r="R8" s="187">
        <v>128.76</v>
      </c>
      <c r="S8" s="187">
        <v>176</v>
      </c>
      <c r="T8" s="187">
        <v>100</v>
      </c>
      <c r="U8" s="187">
        <v>160</v>
      </c>
      <c r="V8" s="6"/>
      <c r="W8" s="6"/>
      <c r="X8" s="6">
        <v>90</v>
      </c>
      <c r="Y8" s="22">
        <v>100</v>
      </c>
    </row>
    <row r="9" spans="1:25" ht="15" hidden="1" thickBot="1">
      <c r="A9" s="36">
        <v>7</v>
      </c>
      <c r="B9" s="6" t="s">
        <v>21</v>
      </c>
      <c r="C9" s="6">
        <v>7</v>
      </c>
      <c r="D9" s="30">
        <v>1</v>
      </c>
      <c r="E9" s="6" t="s">
        <v>9</v>
      </c>
      <c r="F9" s="6" t="s">
        <v>88</v>
      </c>
      <c r="G9" s="134">
        <v>42892</v>
      </c>
      <c r="H9" s="19">
        <v>42891</v>
      </c>
      <c r="I9" s="6"/>
      <c r="J9" s="92">
        <v>1</v>
      </c>
      <c r="K9" s="153">
        <v>0</v>
      </c>
      <c r="L9" s="157">
        <f t="shared" si="0"/>
        <v>829.40540540540496</v>
      </c>
      <c r="M9" s="161">
        <f t="shared" si="1"/>
        <v>0.82940540540540497</v>
      </c>
      <c r="N9" s="193" t="s">
        <v>311</v>
      </c>
      <c r="O9" s="37"/>
      <c r="P9" s="190">
        <v>92</v>
      </c>
      <c r="Q9" s="187">
        <v>105.40540540540499</v>
      </c>
      <c r="R9" s="187">
        <v>86.999999999999986</v>
      </c>
      <c r="S9" s="187">
        <v>120</v>
      </c>
      <c r="T9" s="187">
        <v>100</v>
      </c>
      <c r="U9" s="187">
        <v>150</v>
      </c>
      <c r="V9" s="6">
        <v>175</v>
      </c>
      <c r="W9" s="6"/>
      <c r="X9" s="6"/>
      <c r="Y9" s="22"/>
    </row>
    <row r="10" spans="1:25" ht="15" hidden="1" thickBot="1">
      <c r="A10" s="36">
        <v>8</v>
      </c>
      <c r="B10" s="6" t="s">
        <v>21</v>
      </c>
      <c r="C10" s="6">
        <v>8</v>
      </c>
      <c r="D10" s="30">
        <v>2</v>
      </c>
      <c r="E10" s="6" t="s">
        <v>0</v>
      </c>
      <c r="F10" s="6" t="s">
        <v>89</v>
      </c>
      <c r="G10" s="134">
        <v>42892</v>
      </c>
      <c r="H10" s="19">
        <v>42891</v>
      </c>
      <c r="I10" s="6"/>
      <c r="J10" s="92">
        <v>1</v>
      </c>
      <c r="K10" s="153">
        <v>0</v>
      </c>
      <c r="L10" s="157">
        <f t="shared" si="0"/>
        <v>792.4516216216216</v>
      </c>
      <c r="M10" s="161">
        <f t="shared" si="1"/>
        <v>0.79245162162162164</v>
      </c>
      <c r="N10" s="193">
        <v>4</v>
      </c>
      <c r="O10" s="123"/>
      <c r="P10" s="190">
        <v>92</v>
      </c>
      <c r="Q10" s="187">
        <v>121.62162162162149</v>
      </c>
      <c r="R10" s="187">
        <v>110.91</v>
      </c>
      <c r="S10" s="187">
        <v>145.12</v>
      </c>
      <c r="T10" s="187">
        <v>92.800000000000011</v>
      </c>
      <c r="U10" s="187">
        <v>140</v>
      </c>
      <c r="V10" s="6"/>
      <c r="W10" s="6"/>
      <c r="X10" s="6">
        <v>90</v>
      </c>
      <c r="Y10" s="22"/>
    </row>
    <row r="11" spans="1:25" ht="15" hidden="1" thickBot="1">
      <c r="A11" s="36">
        <v>9</v>
      </c>
      <c r="B11" s="6" t="s">
        <v>21</v>
      </c>
      <c r="C11" s="6">
        <v>9</v>
      </c>
      <c r="D11" s="30">
        <v>2</v>
      </c>
      <c r="E11" s="6" t="s">
        <v>10</v>
      </c>
      <c r="F11" s="6" t="s">
        <v>90</v>
      </c>
      <c r="G11" s="134">
        <v>42892</v>
      </c>
      <c r="H11" s="19">
        <v>42891</v>
      </c>
      <c r="I11" s="6"/>
      <c r="J11" s="92">
        <v>1</v>
      </c>
      <c r="K11" s="153">
        <v>0</v>
      </c>
      <c r="L11" s="157">
        <f t="shared" si="0"/>
        <v>448.513513513514</v>
      </c>
      <c r="M11" s="161">
        <f t="shared" si="1"/>
        <v>0.44851351351351398</v>
      </c>
      <c r="N11" s="193">
        <v>2</v>
      </c>
      <c r="O11" s="123"/>
      <c r="P11" s="190">
        <v>52</v>
      </c>
      <c r="Q11" s="187">
        <v>113.513513513514</v>
      </c>
      <c r="R11" s="187">
        <v>48</v>
      </c>
      <c r="S11" s="187">
        <v>135</v>
      </c>
      <c r="T11" s="187">
        <v>100</v>
      </c>
      <c r="U11" s="187">
        <v>0</v>
      </c>
      <c r="V11" s="6"/>
      <c r="W11" s="6"/>
      <c r="X11" s="6"/>
      <c r="Y11" s="22"/>
    </row>
    <row r="12" spans="1:25" ht="15" hidden="1" thickBot="1">
      <c r="A12" s="36">
        <v>10</v>
      </c>
      <c r="B12" s="6" t="s">
        <v>21</v>
      </c>
      <c r="C12" s="6">
        <v>10</v>
      </c>
      <c r="D12" s="30">
        <v>1</v>
      </c>
      <c r="E12" s="6" t="s">
        <v>14</v>
      </c>
      <c r="F12" s="6" t="s">
        <v>91</v>
      </c>
      <c r="G12" s="134">
        <v>42892</v>
      </c>
      <c r="H12" s="19">
        <v>42891</v>
      </c>
      <c r="I12" s="6"/>
      <c r="J12" s="92">
        <v>1</v>
      </c>
      <c r="K12" s="153">
        <v>0</v>
      </c>
      <c r="L12" s="157">
        <f t="shared" si="0"/>
        <v>674.58378378378359</v>
      </c>
      <c r="M12" s="161">
        <f t="shared" si="1"/>
        <v>0.67458378378378359</v>
      </c>
      <c r="N12" s="193">
        <v>4</v>
      </c>
      <c r="O12" s="37"/>
      <c r="P12" s="190">
        <v>95.6</v>
      </c>
      <c r="Q12" s="187">
        <v>133.78378378378352</v>
      </c>
      <c r="R12" s="187">
        <v>93</v>
      </c>
      <c r="S12" s="187">
        <v>120</v>
      </c>
      <c r="T12" s="187">
        <v>87.200000000000017</v>
      </c>
      <c r="U12" s="195">
        <v>145</v>
      </c>
      <c r="V12" s="6" t="s">
        <v>325</v>
      </c>
      <c r="W12" s="6"/>
      <c r="X12" s="6"/>
      <c r="Y12" s="22"/>
    </row>
    <row r="13" spans="1:25" ht="15" hidden="1" thickBot="1">
      <c r="A13" s="36">
        <v>11</v>
      </c>
      <c r="B13" s="6" t="s">
        <v>21</v>
      </c>
      <c r="C13" s="6">
        <v>11</v>
      </c>
      <c r="D13" s="30">
        <v>1</v>
      </c>
      <c r="E13" s="6" t="s">
        <v>177</v>
      </c>
      <c r="F13" s="6" t="s">
        <v>44</v>
      </c>
      <c r="G13" s="134">
        <v>42892</v>
      </c>
      <c r="H13" s="19">
        <v>42891</v>
      </c>
      <c r="I13" s="6"/>
      <c r="J13" s="92">
        <v>1</v>
      </c>
      <c r="K13" s="153">
        <v>0</v>
      </c>
      <c r="L13" s="157">
        <f t="shared" si="0"/>
        <v>659.83783783783792</v>
      </c>
      <c r="M13" s="161">
        <f t="shared" si="1"/>
        <v>0.65983783783783789</v>
      </c>
      <c r="N13" s="193" t="s">
        <v>311</v>
      </c>
      <c r="O13" s="37"/>
      <c r="P13" s="190">
        <v>68</v>
      </c>
      <c r="Q13" s="187">
        <v>137.83783783783798</v>
      </c>
      <c r="R13" s="187">
        <v>114</v>
      </c>
      <c r="S13" s="187">
        <v>144</v>
      </c>
      <c r="T13" s="187">
        <v>76</v>
      </c>
      <c r="U13" s="187">
        <v>120</v>
      </c>
      <c r="V13" s="204"/>
      <c r="W13" s="6"/>
      <c r="X13" s="6"/>
      <c r="Y13" s="22"/>
    </row>
    <row r="14" spans="1:25" ht="15" hidden="1" thickBot="1">
      <c r="A14" s="36">
        <v>12</v>
      </c>
      <c r="B14" s="6" t="s">
        <v>21</v>
      </c>
      <c r="C14" s="6">
        <v>12</v>
      </c>
      <c r="D14" s="30">
        <v>2</v>
      </c>
      <c r="E14" s="6" t="s">
        <v>81</v>
      </c>
      <c r="F14" s="6" t="s">
        <v>92</v>
      </c>
      <c r="G14" s="134">
        <v>42892</v>
      </c>
      <c r="H14" s="19">
        <v>42891</v>
      </c>
      <c r="I14" s="6"/>
      <c r="J14" s="92">
        <v>1</v>
      </c>
      <c r="K14" s="153">
        <v>0</v>
      </c>
      <c r="L14" s="157">
        <f t="shared" si="0"/>
        <v>575.08108108108104</v>
      </c>
      <c r="M14" s="161">
        <f t="shared" si="1"/>
        <v>0.57508108108108102</v>
      </c>
      <c r="N14" s="193">
        <v>3</v>
      </c>
      <c r="O14" s="123"/>
      <c r="P14" s="190">
        <v>40</v>
      </c>
      <c r="Q14" s="187">
        <v>81.08108108108101</v>
      </c>
      <c r="R14" s="187">
        <v>108</v>
      </c>
      <c r="S14" s="187">
        <v>120</v>
      </c>
      <c r="T14" s="187">
        <v>96</v>
      </c>
      <c r="U14" s="187">
        <v>130</v>
      </c>
      <c r="V14" s="6"/>
      <c r="W14" s="6"/>
      <c r="X14" s="6"/>
      <c r="Y14" s="22"/>
    </row>
    <row r="15" spans="1:25" ht="15" hidden="1" thickBot="1">
      <c r="A15" s="36">
        <v>13</v>
      </c>
      <c r="B15" s="6" t="s">
        <v>21</v>
      </c>
      <c r="C15" s="6">
        <v>13</v>
      </c>
      <c r="D15" s="30">
        <v>2</v>
      </c>
      <c r="E15" s="6" t="s">
        <v>93</v>
      </c>
      <c r="F15" s="6" t="s">
        <v>41</v>
      </c>
      <c r="G15" s="134">
        <v>42892</v>
      </c>
      <c r="H15" s="19">
        <v>42891</v>
      </c>
      <c r="I15" s="6"/>
      <c r="J15" s="92">
        <v>1</v>
      </c>
      <c r="K15" s="153">
        <v>0</v>
      </c>
      <c r="L15" s="157">
        <f t="shared" si="0"/>
        <v>647.33729729729748</v>
      </c>
      <c r="M15" s="161">
        <f t="shared" si="1"/>
        <v>0.6473372972972975</v>
      </c>
      <c r="N15" s="193">
        <v>3</v>
      </c>
      <c r="O15" s="123"/>
      <c r="P15" s="190">
        <v>96</v>
      </c>
      <c r="Q15" s="187">
        <v>97.297297297297504</v>
      </c>
      <c r="R15" s="187">
        <v>115</v>
      </c>
      <c r="S15" s="187">
        <v>133.51999999999998</v>
      </c>
      <c r="T15" s="187">
        <v>95.52</v>
      </c>
      <c r="U15" s="187">
        <v>110.00000000000001</v>
      </c>
      <c r="V15" s="6"/>
      <c r="W15" s="6"/>
      <c r="X15" s="6"/>
      <c r="Y15" s="22"/>
    </row>
    <row r="16" spans="1:25" ht="15" hidden="1" thickBot="1">
      <c r="A16" s="36">
        <v>14</v>
      </c>
      <c r="B16" s="6" t="s">
        <v>21</v>
      </c>
      <c r="C16" s="6">
        <v>14</v>
      </c>
      <c r="D16" s="30">
        <v>1</v>
      </c>
      <c r="E16" s="6" t="s">
        <v>11</v>
      </c>
      <c r="F16" s="6" t="s">
        <v>94</v>
      </c>
      <c r="G16" s="134">
        <v>42892</v>
      </c>
      <c r="H16" s="19">
        <v>42891</v>
      </c>
      <c r="I16" s="172"/>
      <c r="J16" s="92">
        <v>1</v>
      </c>
      <c r="K16" s="153">
        <v>0</v>
      </c>
      <c r="L16" s="157">
        <f t="shared" si="0"/>
        <v>732.94594594594548</v>
      </c>
      <c r="M16" s="161">
        <f t="shared" si="1"/>
        <v>0.73294594594594553</v>
      </c>
      <c r="N16" s="193">
        <v>4</v>
      </c>
      <c r="O16" s="37"/>
      <c r="P16" s="190">
        <v>92</v>
      </c>
      <c r="Q16" s="187">
        <v>145.94594594594551</v>
      </c>
      <c r="R16" s="187">
        <v>93</v>
      </c>
      <c r="S16" s="187">
        <v>156</v>
      </c>
      <c r="T16" s="187">
        <v>96</v>
      </c>
      <c r="U16" s="187">
        <v>150</v>
      </c>
      <c r="V16" s="6" t="s">
        <v>325</v>
      </c>
      <c r="W16" s="6"/>
      <c r="X16" s="6"/>
      <c r="Y16" s="22"/>
    </row>
    <row r="17" spans="1:25" ht="15" hidden="1" thickBot="1">
      <c r="A17" s="36">
        <v>15</v>
      </c>
      <c r="B17" s="6" t="s">
        <v>21</v>
      </c>
      <c r="C17" s="6">
        <v>15</v>
      </c>
      <c r="D17" s="30">
        <v>2</v>
      </c>
      <c r="E17" s="6" t="s">
        <v>79</v>
      </c>
      <c r="F17" s="6" t="s">
        <v>95</v>
      </c>
      <c r="G17" s="134">
        <v>42892</v>
      </c>
      <c r="H17" s="19">
        <v>42891</v>
      </c>
      <c r="I17" s="6"/>
      <c r="J17" s="92">
        <v>1</v>
      </c>
      <c r="K17" s="153">
        <v>0</v>
      </c>
      <c r="L17" s="157">
        <f t="shared" si="0"/>
        <v>990.83783783783792</v>
      </c>
      <c r="M17" s="161">
        <f t="shared" si="1"/>
        <v>0.99083783783783796</v>
      </c>
      <c r="N17" s="193">
        <v>5</v>
      </c>
      <c r="O17" s="37"/>
      <c r="P17" s="190">
        <v>100</v>
      </c>
      <c r="Q17" s="187">
        <v>137.83783783783798</v>
      </c>
      <c r="R17" s="187">
        <v>105</v>
      </c>
      <c r="S17" s="187">
        <v>192</v>
      </c>
      <c r="T17" s="187">
        <v>96</v>
      </c>
      <c r="U17" s="187">
        <v>160</v>
      </c>
      <c r="V17" s="6"/>
      <c r="W17" s="6"/>
      <c r="X17" s="6">
        <v>100</v>
      </c>
      <c r="Y17" s="22">
        <v>100</v>
      </c>
    </row>
    <row r="18" spans="1:25" ht="15" hidden="1" thickBot="1">
      <c r="A18" s="36">
        <v>16</v>
      </c>
      <c r="B18" s="6" t="s">
        <v>21</v>
      </c>
      <c r="C18" s="6">
        <v>16</v>
      </c>
      <c r="D18" s="30">
        <v>1</v>
      </c>
      <c r="E18" s="6" t="s">
        <v>178</v>
      </c>
      <c r="F18" s="6" t="s">
        <v>96</v>
      </c>
      <c r="G18" s="134">
        <v>42892</v>
      </c>
      <c r="H18" s="19">
        <v>42891</v>
      </c>
      <c r="I18" s="6"/>
      <c r="J18" s="92">
        <v>1</v>
      </c>
      <c r="K18" s="153">
        <v>0</v>
      </c>
      <c r="L18" s="157">
        <f t="shared" si="0"/>
        <v>556.29729729729752</v>
      </c>
      <c r="M18" s="161">
        <f t="shared" si="1"/>
        <v>0.55629729729729749</v>
      </c>
      <c r="N18" s="193">
        <v>3</v>
      </c>
      <c r="O18" s="37"/>
      <c r="P18" s="190">
        <v>96</v>
      </c>
      <c r="Q18" s="187">
        <v>97.297297297297504</v>
      </c>
      <c r="R18" s="187">
        <v>0</v>
      </c>
      <c r="S18" s="187">
        <v>0</v>
      </c>
      <c r="T18" s="187">
        <v>68</v>
      </c>
      <c r="U18" s="187">
        <v>100</v>
      </c>
      <c r="V18" s="6"/>
      <c r="W18" s="6"/>
      <c r="X18" s="6">
        <v>195</v>
      </c>
      <c r="Y18" s="22"/>
    </row>
    <row r="19" spans="1:25" ht="15" hidden="1" thickBot="1">
      <c r="A19" s="36">
        <v>17</v>
      </c>
      <c r="B19" s="6" t="s">
        <v>21</v>
      </c>
      <c r="C19" s="6">
        <v>17</v>
      </c>
      <c r="D19" s="30">
        <v>2</v>
      </c>
      <c r="E19" s="6" t="s">
        <v>67</v>
      </c>
      <c r="F19" s="6" t="s">
        <v>20</v>
      </c>
      <c r="G19" s="134">
        <v>42892</v>
      </c>
      <c r="H19" s="19">
        <v>42891</v>
      </c>
      <c r="I19" s="6"/>
      <c r="J19" s="92">
        <v>1</v>
      </c>
      <c r="K19" s="153">
        <v>0</v>
      </c>
      <c r="L19" s="157">
        <f t="shared" si="0"/>
        <v>531.61567567567602</v>
      </c>
      <c r="M19" s="161">
        <f t="shared" si="1"/>
        <v>0.53161567567567602</v>
      </c>
      <c r="N19" s="193">
        <v>3</v>
      </c>
      <c r="O19" s="37"/>
      <c r="P19" s="190">
        <v>92</v>
      </c>
      <c r="Q19" s="187">
        <v>125.67567567567602</v>
      </c>
      <c r="R19" s="187">
        <v>69</v>
      </c>
      <c r="S19" s="187">
        <v>118.94</v>
      </c>
      <c r="T19" s="187">
        <v>36</v>
      </c>
      <c r="U19" s="187">
        <v>0</v>
      </c>
      <c r="V19" s="6"/>
      <c r="W19" s="6"/>
      <c r="X19" s="6">
        <v>90</v>
      </c>
      <c r="Y19" s="22"/>
    </row>
    <row r="20" spans="1:25" ht="15" hidden="1" thickBot="1">
      <c r="A20" s="36">
        <v>18</v>
      </c>
      <c r="B20" s="6" t="s">
        <v>21</v>
      </c>
      <c r="C20" s="6">
        <v>18</v>
      </c>
      <c r="D20" s="30">
        <v>1</v>
      </c>
      <c r="E20" s="6" t="s">
        <v>2</v>
      </c>
      <c r="F20" s="6" t="s">
        <v>97</v>
      </c>
      <c r="G20" s="134">
        <v>42892</v>
      </c>
      <c r="H20" s="19">
        <v>42891</v>
      </c>
      <c r="I20" s="6"/>
      <c r="J20" s="92">
        <v>1</v>
      </c>
      <c r="K20" s="153">
        <v>0</v>
      </c>
      <c r="L20" s="157">
        <f t="shared" si="0"/>
        <v>643.02594594594552</v>
      </c>
      <c r="M20" s="161">
        <f t="shared" si="1"/>
        <v>0.64302594594594553</v>
      </c>
      <c r="N20" s="193" t="s">
        <v>311</v>
      </c>
      <c r="O20" s="37"/>
      <c r="P20" s="190">
        <v>95.199999999999989</v>
      </c>
      <c r="Q20" s="187">
        <v>145.94594594594551</v>
      </c>
      <c r="R20" s="187">
        <v>63</v>
      </c>
      <c r="S20" s="187">
        <v>78.88000000000001</v>
      </c>
      <c r="T20" s="187">
        <v>80</v>
      </c>
      <c r="U20" s="187">
        <v>90</v>
      </c>
      <c r="V20" s="6" t="s">
        <v>325</v>
      </c>
      <c r="W20" s="6"/>
      <c r="X20" s="6">
        <v>90</v>
      </c>
      <c r="Y20" s="22"/>
    </row>
    <row r="21" spans="1:25" ht="15" hidden="1" thickBot="1">
      <c r="A21" s="36">
        <v>19</v>
      </c>
      <c r="B21" s="6" t="s">
        <v>21</v>
      </c>
      <c r="C21" s="6">
        <v>19</v>
      </c>
      <c r="D21" s="30">
        <v>1</v>
      </c>
      <c r="E21" s="6" t="s">
        <v>81</v>
      </c>
      <c r="F21" s="6" t="s">
        <v>98</v>
      </c>
      <c r="G21" s="134">
        <v>42892</v>
      </c>
      <c r="H21" s="19">
        <v>42891</v>
      </c>
      <c r="I21" s="6"/>
      <c r="J21" s="92">
        <v>1</v>
      </c>
      <c r="K21" s="153">
        <v>0</v>
      </c>
      <c r="L21" s="157">
        <f t="shared" si="0"/>
        <v>553.45945945945959</v>
      </c>
      <c r="M21" s="161">
        <f t="shared" si="1"/>
        <v>0.55345945945945962</v>
      </c>
      <c r="N21" s="193">
        <v>3</v>
      </c>
      <c r="O21" s="37"/>
      <c r="P21" s="190">
        <v>96</v>
      </c>
      <c r="Q21" s="187">
        <v>109.45945945945952</v>
      </c>
      <c r="R21" s="187">
        <v>84.000000000000014</v>
      </c>
      <c r="S21" s="187">
        <v>4</v>
      </c>
      <c r="T21" s="187">
        <v>80</v>
      </c>
      <c r="U21" s="187">
        <v>90</v>
      </c>
      <c r="V21" s="6"/>
      <c r="W21" s="6"/>
      <c r="X21" s="6">
        <v>90</v>
      </c>
      <c r="Y21" s="22"/>
    </row>
    <row r="22" spans="1:25" ht="15" hidden="1" thickBot="1">
      <c r="A22" s="36">
        <v>20</v>
      </c>
      <c r="B22" s="30" t="s">
        <v>21</v>
      </c>
      <c r="C22" s="6">
        <v>20</v>
      </c>
      <c r="D22" s="30">
        <v>1</v>
      </c>
      <c r="E22" s="30" t="s">
        <v>16</v>
      </c>
      <c r="F22" s="30" t="s">
        <v>57</v>
      </c>
      <c r="G22" s="134">
        <v>42892</v>
      </c>
      <c r="H22" s="19">
        <v>42891</v>
      </c>
      <c r="I22" s="6"/>
      <c r="J22" s="92">
        <v>1</v>
      </c>
      <c r="K22" s="153">
        <v>0</v>
      </c>
      <c r="L22" s="157">
        <f t="shared" si="0"/>
        <v>709.83783783783792</v>
      </c>
      <c r="M22" s="161">
        <f t="shared" si="1"/>
        <v>0.70983783783783794</v>
      </c>
      <c r="N22" s="193">
        <v>4</v>
      </c>
      <c r="O22" s="37"/>
      <c r="P22" s="190">
        <v>92</v>
      </c>
      <c r="Q22" s="187">
        <v>137.83783783783798</v>
      </c>
      <c r="R22" s="187">
        <v>114</v>
      </c>
      <c r="S22" s="187">
        <v>156</v>
      </c>
      <c r="T22" s="187">
        <v>100</v>
      </c>
      <c r="U22" s="187">
        <v>110.00000000000001</v>
      </c>
      <c r="V22" s="6" t="s">
        <v>325</v>
      </c>
      <c r="W22" s="6"/>
      <c r="X22" s="6"/>
      <c r="Y22" s="22"/>
    </row>
    <row r="23" spans="1:25" ht="15" hidden="1" thickBot="1">
      <c r="A23" s="36">
        <v>21</v>
      </c>
      <c r="B23" s="30" t="s">
        <v>21</v>
      </c>
      <c r="C23" s="6">
        <v>21</v>
      </c>
      <c r="D23" s="30">
        <v>2</v>
      </c>
      <c r="E23" s="30" t="s">
        <v>65</v>
      </c>
      <c r="F23" s="30" t="s">
        <v>99</v>
      </c>
      <c r="G23" s="134">
        <v>42892</v>
      </c>
      <c r="H23" s="19">
        <v>42891</v>
      </c>
      <c r="I23" s="6"/>
      <c r="J23" s="92">
        <v>1</v>
      </c>
      <c r="K23" s="153">
        <v>0</v>
      </c>
      <c r="L23" s="157">
        <f t="shared" si="0"/>
        <v>717.45945945945959</v>
      </c>
      <c r="M23" s="161">
        <f t="shared" si="1"/>
        <v>0.71745945945945955</v>
      </c>
      <c r="N23" s="193">
        <v>4</v>
      </c>
      <c r="O23" s="123"/>
      <c r="P23" s="190">
        <v>92</v>
      </c>
      <c r="Q23" s="187">
        <v>109.45945945945952</v>
      </c>
      <c r="R23" s="187">
        <v>144</v>
      </c>
      <c r="S23" s="187">
        <v>148</v>
      </c>
      <c r="T23" s="187">
        <v>84</v>
      </c>
      <c r="U23" s="187">
        <v>140</v>
      </c>
      <c r="V23" s="6"/>
      <c r="W23" s="6"/>
      <c r="X23" s="6"/>
      <c r="Y23" s="22"/>
    </row>
    <row r="24" spans="1:25" ht="15" hidden="1" thickBot="1">
      <c r="A24" s="36">
        <v>22</v>
      </c>
      <c r="B24" s="30" t="s">
        <v>21</v>
      </c>
      <c r="C24" s="6">
        <v>22</v>
      </c>
      <c r="D24" s="30">
        <v>1</v>
      </c>
      <c r="E24" s="30" t="s">
        <v>100</v>
      </c>
      <c r="F24" s="6" t="s">
        <v>101</v>
      </c>
      <c r="G24" s="134">
        <v>42892</v>
      </c>
      <c r="H24" s="19">
        <v>42891</v>
      </c>
      <c r="I24" s="6"/>
      <c r="J24" s="92">
        <v>1</v>
      </c>
      <c r="K24" s="153">
        <v>0</v>
      </c>
      <c r="L24" s="157">
        <f t="shared" si="0"/>
        <v>627.17297297297353</v>
      </c>
      <c r="M24" s="161">
        <f t="shared" si="1"/>
        <v>0.62717297297297347</v>
      </c>
      <c r="N24" s="193" t="s">
        <v>311</v>
      </c>
      <c r="O24" s="37"/>
      <c r="P24" s="190">
        <v>76</v>
      </c>
      <c r="Q24" s="187">
        <v>132.97297297297354</v>
      </c>
      <c r="R24" s="187">
        <v>74.099999999999994</v>
      </c>
      <c r="S24" s="187">
        <v>136.5</v>
      </c>
      <c r="T24" s="187">
        <v>87.6</v>
      </c>
      <c r="U24" s="187">
        <v>120</v>
      </c>
      <c r="V24" s="6" t="s">
        <v>326</v>
      </c>
      <c r="W24" s="6"/>
      <c r="X24" s="6"/>
      <c r="Y24" s="22"/>
    </row>
    <row r="25" spans="1:25" ht="15" hidden="1" thickBot="1">
      <c r="A25" s="36">
        <v>23</v>
      </c>
      <c r="B25" s="30" t="s">
        <v>21</v>
      </c>
      <c r="C25" s="6">
        <v>23</v>
      </c>
      <c r="D25" s="30">
        <v>2</v>
      </c>
      <c r="E25" s="30" t="s">
        <v>64</v>
      </c>
      <c r="F25" s="30" t="s">
        <v>1</v>
      </c>
      <c r="G25" s="134">
        <v>42892</v>
      </c>
      <c r="H25" s="19">
        <v>42891</v>
      </c>
      <c r="I25" s="6"/>
      <c r="J25" s="92">
        <v>1</v>
      </c>
      <c r="K25" s="153">
        <v>0</v>
      </c>
      <c r="L25" s="157">
        <f t="shared" si="0"/>
        <v>993.02162162162153</v>
      </c>
      <c r="M25" s="161">
        <f t="shared" si="1"/>
        <v>0.99302162162162155</v>
      </c>
      <c r="N25" s="193">
        <v>5</v>
      </c>
      <c r="O25" s="37"/>
      <c r="P25" s="190">
        <v>96</v>
      </c>
      <c r="Q25" s="187">
        <v>121.62162162162149</v>
      </c>
      <c r="R25" s="187">
        <v>117</v>
      </c>
      <c r="S25" s="187">
        <v>144.4</v>
      </c>
      <c r="T25" s="187">
        <v>84</v>
      </c>
      <c r="U25" s="187">
        <v>140</v>
      </c>
      <c r="V25" s="6"/>
      <c r="W25" s="6"/>
      <c r="X25" s="6">
        <v>90</v>
      </c>
      <c r="Y25" s="22">
        <v>200</v>
      </c>
    </row>
    <row r="26" spans="1:25" ht="15" hidden="1" thickBot="1">
      <c r="A26" s="36">
        <v>24</v>
      </c>
      <c r="B26" s="30" t="s">
        <v>21</v>
      </c>
      <c r="C26" s="6">
        <v>24</v>
      </c>
      <c r="D26" s="30">
        <v>2</v>
      </c>
      <c r="E26" s="30" t="s">
        <v>102</v>
      </c>
      <c r="F26" s="6" t="s">
        <v>103</v>
      </c>
      <c r="G26" s="134">
        <v>42892</v>
      </c>
      <c r="H26" s="19">
        <v>42891</v>
      </c>
      <c r="I26" s="6"/>
      <c r="J26" s="92">
        <v>1</v>
      </c>
      <c r="K26" s="153">
        <v>0</v>
      </c>
      <c r="L26" s="157">
        <f t="shared" si="0"/>
        <v>693.00918918918842</v>
      </c>
      <c r="M26" s="161">
        <f t="shared" si="1"/>
        <v>0.69300918918918841</v>
      </c>
      <c r="N26" s="193">
        <v>4</v>
      </c>
      <c r="O26" s="123"/>
      <c r="P26" s="190">
        <v>96</v>
      </c>
      <c r="Q26" s="187">
        <v>89.189189189188497</v>
      </c>
      <c r="R26" s="187">
        <v>125.82</v>
      </c>
      <c r="S26" s="187">
        <v>156</v>
      </c>
      <c r="T26" s="187">
        <v>96</v>
      </c>
      <c r="U26" s="187">
        <v>130</v>
      </c>
      <c r="V26" s="6"/>
      <c r="W26" s="6"/>
      <c r="X26" s="6"/>
      <c r="Y26" s="22"/>
    </row>
    <row r="27" spans="1:25" ht="15" hidden="1" thickBot="1">
      <c r="A27" s="36">
        <v>25</v>
      </c>
      <c r="B27" s="6" t="s">
        <v>21</v>
      </c>
      <c r="C27" s="6">
        <v>25</v>
      </c>
      <c r="D27" s="30">
        <v>2</v>
      </c>
      <c r="E27" s="6" t="s">
        <v>175</v>
      </c>
      <c r="F27" s="6" t="s">
        <v>104</v>
      </c>
      <c r="G27" s="134">
        <v>42892</v>
      </c>
      <c r="H27" s="19">
        <v>42891</v>
      </c>
      <c r="I27" s="6"/>
      <c r="J27" s="92">
        <v>1</v>
      </c>
      <c r="K27" s="153">
        <v>0</v>
      </c>
      <c r="L27" s="157">
        <f t="shared" si="0"/>
        <v>508.94594594594548</v>
      </c>
      <c r="M27" s="161">
        <f t="shared" si="1"/>
        <v>0.50894594594594544</v>
      </c>
      <c r="N27" s="193">
        <v>3</v>
      </c>
      <c r="O27" s="123"/>
      <c r="P27" s="190">
        <v>96</v>
      </c>
      <c r="Q27" s="187">
        <v>145.94594594594551</v>
      </c>
      <c r="R27" s="187">
        <v>0</v>
      </c>
      <c r="S27" s="187">
        <v>132.99999999999997</v>
      </c>
      <c r="T27" s="187">
        <v>4</v>
      </c>
      <c r="U27" s="187">
        <v>130</v>
      </c>
      <c r="V27" s="6"/>
      <c r="W27" s="6"/>
      <c r="X27" s="6"/>
      <c r="Y27" s="22"/>
    </row>
    <row r="28" spans="1:25" ht="15" hidden="1" thickBot="1">
      <c r="A28" s="36">
        <v>79</v>
      </c>
      <c r="B28" s="30" t="s">
        <v>21</v>
      </c>
      <c r="C28" s="6">
        <v>26</v>
      </c>
      <c r="D28" s="30">
        <v>1</v>
      </c>
      <c r="E28" s="30" t="s">
        <v>47</v>
      </c>
      <c r="F28" s="30" t="s">
        <v>49</v>
      </c>
      <c r="G28" s="134">
        <v>42892</v>
      </c>
      <c r="H28" s="19">
        <v>42891</v>
      </c>
      <c r="I28" s="6"/>
      <c r="J28" s="92">
        <v>1</v>
      </c>
      <c r="K28" s="153">
        <v>0</v>
      </c>
      <c r="L28" s="157">
        <f t="shared" si="0"/>
        <v>684.21351351351404</v>
      </c>
      <c r="M28" s="161">
        <f t="shared" si="1"/>
        <v>0.684213513513514</v>
      </c>
      <c r="N28" s="193">
        <v>4</v>
      </c>
      <c r="O28" s="37"/>
      <c r="P28" s="190">
        <v>76</v>
      </c>
      <c r="Q28" s="187">
        <v>113.513513513514</v>
      </c>
      <c r="R28" s="187">
        <v>108.30000000000001</v>
      </c>
      <c r="S28" s="187">
        <v>119.8</v>
      </c>
      <c r="T28" s="187">
        <v>91.600000000000009</v>
      </c>
      <c r="U28" s="187">
        <v>80</v>
      </c>
      <c r="V28" s="6" t="s">
        <v>327</v>
      </c>
      <c r="W28" s="6"/>
      <c r="X28" s="6">
        <v>95</v>
      </c>
      <c r="Y28" s="22"/>
    </row>
    <row r="29" spans="1:25" ht="15" hidden="1" thickBot="1">
      <c r="A29" s="36">
        <v>27</v>
      </c>
      <c r="B29" s="30" t="s">
        <v>21</v>
      </c>
      <c r="C29" s="6">
        <v>28</v>
      </c>
      <c r="D29" s="30">
        <v>2</v>
      </c>
      <c r="E29" s="30" t="s">
        <v>48</v>
      </c>
      <c r="F29" s="30" t="s">
        <v>105</v>
      </c>
      <c r="G29" s="134">
        <v>42892</v>
      </c>
      <c r="H29" s="19">
        <v>42891</v>
      </c>
      <c r="I29" s="6"/>
      <c r="J29" s="92">
        <v>1</v>
      </c>
      <c r="K29" s="153">
        <v>0</v>
      </c>
      <c r="L29" s="157">
        <f t="shared" si="0"/>
        <v>550.45945945945959</v>
      </c>
      <c r="M29" s="161">
        <f t="shared" si="1"/>
        <v>0.55045945945945962</v>
      </c>
      <c r="N29" s="193">
        <v>3</v>
      </c>
      <c r="O29" s="37"/>
      <c r="P29" s="190">
        <v>96</v>
      </c>
      <c r="Q29" s="187">
        <v>109.45945945945952</v>
      </c>
      <c r="R29" s="187">
        <v>117</v>
      </c>
      <c r="S29" s="187">
        <v>128</v>
      </c>
      <c r="T29" s="187">
        <v>100</v>
      </c>
      <c r="U29" s="187">
        <v>0</v>
      </c>
      <c r="V29" s="6"/>
      <c r="W29" s="6"/>
      <c r="X29" s="6"/>
      <c r="Y29" s="22"/>
    </row>
    <row r="30" spans="1:25" ht="15" hidden="1" thickBot="1">
      <c r="A30" s="36">
        <v>28</v>
      </c>
      <c r="B30" s="30" t="s">
        <v>21</v>
      </c>
      <c r="C30" s="6">
        <v>29</v>
      </c>
      <c r="D30" s="30">
        <v>1</v>
      </c>
      <c r="E30" s="30" t="s">
        <v>174</v>
      </c>
      <c r="F30" s="30" t="s">
        <v>106</v>
      </c>
      <c r="G30" s="134">
        <v>42892</v>
      </c>
      <c r="H30" s="19">
        <v>42891</v>
      </c>
      <c r="I30" s="6"/>
      <c r="J30" s="92">
        <v>1</v>
      </c>
      <c r="K30" s="153">
        <v>0</v>
      </c>
      <c r="L30" s="157">
        <f t="shared" si="0"/>
        <v>774.243243243243</v>
      </c>
      <c r="M30" s="161">
        <f t="shared" si="1"/>
        <v>0.77424324324324301</v>
      </c>
      <c r="N30" s="193">
        <v>3</v>
      </c>
      <c r="O30" s="37"/>
      <c r="P30" s="190">
        <v>92</v>
      </c>
      <c r="Q30" s="187">
        <v>93.243243243243001</v>
      </c>
      <c r="R30" s="187">
        <v>84.000000000000014</v>
      </c>
      <c r="S30" s="187">
        <v>120</v>
      </c>
      <c r="T30" s="187">
        <v>90</v>
      </c>
      <c r="U30" s="187">
        <v>120</v>
      </c>
      <c r="V30" s="6">
        <v>175</v>
      </c>
      <c r="W30" s="6"/>
      <c r="X30" s="6"/>
      <c r="Y30" s="22"/>
    </row>
    <row r="31" spans="1:25" ht="15" hidden="1" thickBot="1">
      <c r="A31" s="36">
        <v>29</v>
      </c>
      <c r="B31" s="30" t="s">
        <v>21</v>
      </c>
      <c r="C31" s="6">
        <v>30</v>
      </c>
      <c r="D31" s="30">
        <v>2</v>
      </c>
      <c r="E31" s="30" t="s">
        <v>18</v>
      </c>
      <c r="F31" s="30" t="s">
        <v>107</v>
      </c>
      <c r="G31" s="134">
        <v>42892</v>
      </c>
      <c r="H31" s="19">
        <v>42891</v>
      </c>
      <c r="I31" s="6"/>
      <c r="J31" s="92">
        <v>1</v>
      </c>
      <c r="K31" s="153">
        <v>0</v>
      </c>
      <c r="L31" s="157">
        <f t="shared" si="0"/>
        <v>680.83783783783792</v>
      </c>
      <c r="M31" s="161">
        <f t="shared" si="1"/>
        <v>0.68083783783783791</v>
      </c>
      <c r="N31" s="193">
        <v>4</v>
      </c>
      <c r="O31" s="37"/>
      <c r="P31" s="190">
        <v>88</v>
      </c>
      <c r="Q31" s="187">
        <v>137.83783783783798</v>
      </c>
      <c r="R31" s="187">
        <v>63</v>
      </c>
      <c r="S31" s="187">
        <v>136</v>
      </c>
      <c r="T31" s="187">
        <v>96</v>
      </c>
      <c r="U31" s="187">
        <v>160</v>
      </c>
      <c r="V31" s="6"/>
      <c r="W31" s="6"/>
      <c r="X31" s="6"/>
      <c r="Y31" s="22"/>
    </row>
    <row r="32" spans="1:25" ht="15" hidden="1" thickBot="1">
      <c r="A32" s="36">
        <v>30</v>
      </c>
      <c r="B32" s="30" t="s">
        <v>21</v>
      </c>
      <c r="C32" s="6">
        <v>31</v>
      </c>
      <c r="D32" s="30">
        <v>1</v>
      </c>
      <c r="E32" s="30" t="s">
        <v>173</v>
      </c>
      <c r="F32" s="30" t="s">
        <v>108</v>
      </c>
      <c r="G32" s="134">
        <v>42892</v>
      </c>
      <c r="H32" s="19">
        <v>42891</v>
      </c>
      <c r="I32" s="6" t="s">
        <v>328</v>
      </c>
      <c r="J32" s="92">
        <v>1</v>
      </c>
      <c r="K32" s="153">
        <v>0</v>
      </c>
      <c r="L32" s="157">
        <f t="shared" si="0"/>
        <v>699.10918918918844</v>
      </c>
      <c r="M32" s="161">
        <f t="shared" si="1"/>
        <v>0.69910918918918841</v>
      </c>
      <c r="N32" s="193">
        <v>3</v>
      </c>
      <c r="O32" s="37"/>
      <c r="P32" s="190">
        <v>100</v>
      </c>
      <c r="Q32" s="187">
        <v>89.189189189188497</v>
      </c>
      <c r="R32" s="187">
        <v>72</v>
      </c>
      <c r="S32" s="187">
        <v>101.91999999999999</v>
      </c>
      <c r="T32" s="187">
        <v>76</v>
      </c>
      <c r="U32" s="187">
        <v>100</v>
      </c>
      <c r="V32" s="6">
        <v>160</v>
      </c>
      <c r="W32" s="6"/>
      <c r="X32" s="6"/>
      <c r="Y32" s="22"/>
    </row>
    <row r="33" spans="1:25" ht="15" hidden="1" thickBot="1">
      <c r="A33" s="36">
        <v>31</v>
      </c>
      <c r="B33" s="30" t="s">
        <v>21</v>
      </c>
      <c r="C33" s="6">
        <v>32</v>
      </c>
      <c r="D33" s="30">
        <v>1</v>
      </c>
      <c r="E33" s="30" t="s">
        <v>80</v>
      </c>
      <c r="F33" s="30" t="s">
        <v>109</v>
      </c>
      <c r="G33" s="134">
        <v>42892</v>
      </c>
      <c r="H33" s="19">
        <v>42891</v>
      </c>
      <c r="I33" s="172"/>
      <c r="J33" s="92">
        <v>1</v>
      </c>
      <c r="K33" s="153">
        <v>0</v>
      </c>
      <c r="L33" s="157">
        <f t="shared" si="0"/>
        <v>573.02972972972918</v>
      </c>
      <c r="M33" s="161">
        <f t="shared" si="1"/>
        <v>0.57302972972972921</v>
      </c>
      <c r="N33" s="193">
        <v>4</v>
      </c>
      <c r="O33" s="37"/>
      <c r="P33" s="190">
        <v>96</v>
      </c>
      <c r="Q33" s="187">
        <v>109.72972972972919</v>
      </c>
      <c r="R33" s="187">
        <v>90</v>
      </c>
      <c r="S33" s="187">
        <v>27.3</v>
      </c>
      <c r="T33" s="187">
        <v>100</v>
      </c>
      <c r="U33" s="187">
        <v>150</v>
      </c>
      <c r="V33" s="6" t="s">
        <v>325</v>
      </c>
      <c r="W33" s="6"/>
      <c r="X33" s="6"/>
      <c r="Y33" s="22"/>
    </row>
    <row r="34" spans="1:25" ht="15" hidden="1" thickBot="1">
      <c r="A34" s="143">
        <v>32</v>
      </c>
      <c r="B34" s="96" t="s">
        <v>21</v>
      </c>
      <c r="C34" s="97">
        <v>33</v>
      </c>
      <c r="D34" s="96">
        <v>1</v>
      </c>
      <c r="E34" s="96" t="s">
        <v>176</v>
      </c>
      <c r="F34" s="96" t="s">
        <v>110</v>
      </c>
      <c r="G34" s="196">
        <v>42892</v>
      </c>
      <c r="H34" s="100">
        <v>42891</v>
      </c>
      <c r="I34" s="97"/>
      <c r="J34" s="103">
        <v>1</v>
      </c>
      <c r="K34" s="169">
        <v>0</v>
      </c>
      <c r="L34" s="170">
        <f t="shared" si="0"/>
        <v>631.513513513514</v>
      </c>
      <c r="M34" s="171">
        <f t="shared" si="1"/>
        <v>0.63151351351351404</v>
      </c>
      <c r="N34" s="197">
        <v>4</v>
      </c>
      <c r="O34" s="101"/>
      <c r="P34" s="198">
        <v>88</v>
      </c>
      <c r="Q34" s="199">
        <v>113.513513513514</v>
      </c>
      <c r="R34" s="199">
        <v>114</v>
      </c>
      <c r="S34" s="199">
        <v>132</v>
      </c>
      <c r="T34" s="199">
        <v>84</v>
      </c>
      <c r="U34" s="199">
        <v>100</v>
      </c>
      <c r="V34" s="205"/>
      <c r="W34" s="97"/>
      <c r="X34" s="97"/>
      <c r="Y34" s="117"/>
    </row>
    <row r="35" spans="1:25" ht="15" hidden="1" thickBot="1">
      <c r="A35" s="35">
        <v>34</v>
      </c>
      <c r="B35" s="33" t="s">
        <v>22</v>
      </c>
      <c r="C35" s="4">
        <v>1</v>
      </c>
      <c r="D35" s="33">
        <v>4</v>
      </c>
      <c r="E35" s="33" t="s">
        <v>182</v>
      </c>
      <c r="F35" s="33" t="s">
        <v>17</v>
      </c>
      <c r="G35" s="140">
        <v>42892</v>
      </c>
      <c r="H35" s="14">
        <v>42891</v>
      </c>
      <c r="I35" s="4"/>
      <c r="J35" s="94">
        <v>1</v>
      </c>
      <c r="K35" s="152">
        <v>0</v>
      </c>
      <c r="L35" s="156">
        <f t="shared" ref="L35:L62" si="2">SUM(P35:Y35)</f>
        <v>813</v>
      </c>
      <c r="M35" s="160">
        <f t="shared" ref="M35:M62" si="3">L35/$L$2</f>
        <v>0.81299999999999994</v>
      </c>
      <c r="N35" s="192">
        <v>5</v>
      </c>
      <c r="O35" s="95"/>
      <c r="P35" s="189">
        <v>100</v>
      </c>
      <c r="Q35" s="186">
        <v>150</v>
      </c>
      <c r="R35" s="186">
        <v>108</v>
      </c>
      <c r="S35" s="186">
        <v>100</v>
      </c>
      <c r="T35" s="186">
        <v>100</v>
      </c>
      <c r="U35" s="186">
        <v>160</v>
      </c>
      <c r="V35" s="4"/>
      <c r="W35" s="4"/>
      <c r="X35" s="4"/>
      <c r="Y35" s="17">
        <v>95</v>
      </c>
    </row>
    <row r="36" spans="1:25" ht="15" hidden="1" thickBot="1">
      <c r="A36" s="36">
        <v>35</v>
      </c>
      <c r="B36" s="30" t="s">
        <v>22</v>
      </c>
      <c r="C36" s="30">
        <v>2</v>
      </c>
      <c r="D36" s="30">
        <v>4</v>
      </c>
      <c r="E36" s="30" t="s">
        <v>188</v>
      </c>
      <c r="F36" s="30" t="s">
        <v>112</v>
      </c>
      <c r="G36" s="134">
        <v>42892</v>
      </c>
      <c r="H36" s="19">
        <v>42891</v>
      </c>
      <c r="I36" s="6"/>
      <c r="J36" s="92">
        <v>1</v>
      </c>
      <c r="K36" s="153">
        <v>0</v>
      </c>
      <c r="L36" s="157">
        <f t="shared" si="2"/>
        <v>821.80756756756705</v>
      </c>
      <c r="M36" s="161">
        <f t="shared" si="3"/>
        <v>0.82180756756756701</v>
      </c>
      <c r="N36" s="193">
        <v>4</v>
      </c>
      <c r="O36" s="37"/>
      <c r="P36" s="190">
        <v>84</v>
      </c>
      <c r="Q36" s="187">
        <v>117.56756756756701</v>
      </c>
      <c r="R36" s="187">
        <v>84.000000000000014</v>
      </c>
      <c r="S36" s="187">
        <v>26.239999999999995</v>
      </c>
      <c r="T36" s="187">
        <v>100</v>
      </c>
      <c r="U36" s="187">
        <v>120</v>
      </c>
      <c r="V36" s="6"/>
      <c r="W36" s="6"/>
      <c r="X36" s="6"/>
      <c r="Y36" s="22">
        <v>290</v>
      </c>
    </row>
    <row r="37" spans="1:25" ht="15" hidden="1" thickBot="1">
      <c r="A37" s="36">
        <v>36</v>
      </c>
      <c r="B37" s="6" t="s">
        <v>22</v>
      </c>
      <c r="C37" s="6">
        <v>3</v>
      </c>
      <c r="D37" s="30">
        <v>4</v>
      </c>
      <c r="E37" s="6" t="s">
        <v>189</v>
      </c>
      <c r="F37" s="6" t="s">
        <v>113</v>
      </c>
      <c r="G37" s="134">
        <v>42892</v>
      </c>
      <c r="H37" s="19">
        <v>42891</v>
      </c>
      <c r="I37" s="6"/>
      <c r="J37" s="92">
        <v>1</v>
      </c>
      <c r="K37" s="153">
        <v>0</v>
      </c>
      <c r="L37" s="157">
        <f t="shared" si="2"/>
        <v>825.94594594594548</v>
      </c>
      <c r="M37" s="161">
        <f t="shared" si="3"/>
        <v>0.8259459459459455</v>
      </c>
      <c r="N37" s="193">
        <v>5</v>
      </c>
      <c r="O37" s="37"/>
      <c r="P37" s="190">
        <v>92</v>
      </c>
      <c r="Q37" s="187">
        <v>145.94594594594551</v>
      </c>
      <c r="R37" s="187">
        <v>123</v>
      </c>
      <c r="S37" s="187">
        <v>128</v>
      </c>
      <c r="T37" s="187">
        <v>92</v>
      </c>
      <c r="U37" s="187">
        <v>150</v>
      </c>
      <c r="V37" s="6"/>
      <c r="W37" s="6"/>
      <c r="X37" s="6"/>
      <c r="Y37" s="22">
        <v>95</v>
      </c>
    </row>
    <row r="38" spans="1:25" ht="15" hidden="1" thickBot="1">
      <c r="A38" s="36">
        <v>37</v>
      </c>
      <c r="B38" s="6" t="s">
        <v>22</v>
      </c>
      <c r="C38" s="6">
        <v>4</v>
      </c>
      <c r="D38" s="30">
        <v>4</v>
      </c>
      <c r="E38" s="6" t="s">
        <v>79</v>
      </c>
      <c r="F38" s="6" t="s">
        <v>85</v>
      </c>
      <c r="G38" s="134">
        <v>42892</v>
      </c>
      <c r="H38" s="19">
        <v>42891</v>
      </c>
      <c r="I38" s="6"/>
      <c r="J38" s="92">
        <v>1</v>
      </c>
      <c r="K38" s="153">
        <v>0</v>
      </c>
      <c r="L38" s="157">
        <f t="shared" si="2"/>
        <v>730.62162162162144</v>
      </c>
      <c r="M38" s="161">
        <f t="shared" si="3"/>
        <v>0.73062162162162148</v>
      </c>
      <c r="N38" s="193">
        <v>4</v>
      </c>
      <c r="O38" s="37"/>
      <c r="P38" s="190">
        <v>80</v>
      </c>
      <c r="Q38" s="187">
        <v>121.62162162162149</v>
      </c>
      <c r="R38" s="187">
        <v>105</v>
      </c>
      <c r="S38" s="187">
        <v>184</v>
      </c>
      <c r="T38" s="187">
        <v>100</v>
      </c>
      <c r="U38" s="187">
        <v>140</v>
      </c>
      <c r="V38" s="6"/>
      <c r="W38" s="6"/>
      <c r="X38" s="6"/>
      <c r="Y38" s="22"/>
    </row>
    <row r="39" spans="1:25" ht="15" hidden="1" thickBot="1">
      <c r="A39" s="36">
        <v>38</v>
      </c>
      <c r="B39" s="6" t="s">
        <v>22</v>
      </c>
      <c r="C39" s="30">
        <v>5</v>
      </c>
      <c r="D39" s="30">
        <v>3</v>
      </c>
      <c r="E39" s="6" t="s">
        <v>40</v>
      </c>
      <c r="F39" s="6" t="s">
        <v>114</v>
      </c>
      <c r="G39" s="134">
        <v>42892</v>
      </c>
      <c r="H39" s="19">
        <v>42891</v>
      </c>
      <c r="I39" s="6"/>
      <c r="J39" s="92">
        <v>1</v>
      </c>
      <c r="K39" s="153">
        <v>0</v>
      </c>
      <c r="L39" s="157">
        <f t="shared" si="2"/>
        <v>137.08108108108101</v>
      </c>
      <c r="M39" s="161">
        <f t="shared" si="3"/>
        <v>0.137081081081081</v>
      </c>
      <c r="N39" s="193">
        <v>1</v>
      </c>
      <c r="O39" s="37"/>
      <c r="P39" s="190">
        <v>52</v>
      </c>
      <c r="Q39" s="187">
        <v>81.08108108108101</v>
      </c>
      <c r="R39" s="187">
        <v>0</v>
      </c>
      <c r="S39" s="187">
        <v>0</v>
      </c>
      <c r="T39" s="187">
        <v>4</v>
      </c>
      <c r="U39" s="187">
        <v>0</v>
      </c>
      <c r="V39" s="6"/>
      <c r="W39" s="6"/>
      <c r="X39" s="6"/>
      <c r="Y39" s="22"/>
    </row>
    <row r="40" spans="1:25" ht="15" hidden="1" thickBot="1">
      <c r="A40" s="36">
        <v>39</v>
      </c>
      <c r="B40" s="6" t="s">
        <v>22</v>
      </c>
      <c r="C40" s="6">
        <v>6</v>
      </c>
      <c r="D40" s="30">
        <v>4</v>
      </c>
      <c r="E40" s="6" t="s">
        <v>10</v>
      </c>
      <c r="F40" s="6" t="s">
        <v>115</v>
      </c>
      <c r="G40" s="134">
        <v>42892</v>
      </c>
      <c r="H40" s="19">
        <v>42891</v>
      </c>
      <c r="I40" s="19"/>
      <c r="J40" s="92">
        <v>1</v>
      </c>
      <c r="K40" s="153">
        <v>0</v>
      </c>
      <c r="L40" s="157">
        <f t="shared" si="2"/>
        <v>518.27351351351399</v>
      </c>
      <c r="M40" s="161">
        <f t="shared" si="3"/>
        <v>0.51827351351351403</v>
      </c>
      <c r="N40" s="193">
        <v>3</v>
      </c>
      <c r="O40" s="37"/>
      <c r="P40" s="190">
        <v>88</v>
      </c>
      <c r="Q40" s="187">
        <v>113.513513513514</v>
      </c>
      <c r="R40" s="187">
        <v>0</v>
      </c>
      <c r="S40" s="187">
        <v>0</v>
      </c>
      <c r="T40" s="187">
        <v>166.76</v>
      </c>
      <c r="U40" s="187">
        <v>150</v>
      </c>
      <c r="V40" s="6"/>
      <c r="W40" s="6"/>
      <c r="X40" s="6"/>
      <c r="Y40" s="22"/>
    </row>
    <row r="41" spans="1:25" ht="15" hidden="1" thickBot="1">
      <c r="A41" s="36">
        <v>40</v>
      </c>
      <c r="B41" s="6" t="s">
        <v>22</v>
      </c>
      <c r="C41" s="6">
        <v>7</v>
      </c>
      <c r="D41" s="30">
        <v>3</v>
      </c>
      <c r="E41" s="6" t="s">
        <v>11</v>
      </c>
      <c r="F41" s="6" t="s">
        <v>116</v>
      </c>
      <c r="G41" s="134">
        <v>42892</v>
      </c>
      <c r="H41" s="19">
        <v>42891</v>
      </c>
      <c r="I41" s="19"/>
      <c r="J41" s="92">
        <v>1</v>
      </c>
      <c r="K41" s="153">
        <v>0</v>
      </c>
      <c r="L41" s="157">
        <f t="shared" si="2"/>
        <v>620.45945945945959</v>
      </c>
      <c r="M41" s="161">
        <f t="shared" si="3"/>
        <v>0.62045945945945957</v>
      </c>
      <c r="N41" s="193">
        <v>3</v>
      </c>
      <c r="O41" s="37"/>
      <c r="P41" s="190">
        <v>92</v>
      </c>
      <c r="Q41" s="187">
        <v>109.45945945945952</v>
      </c>
      <c r="R41" s="187">
        <v>86.999999999999986</v>
      </c>
      <c r="S41" s="187">
        <v>156</v>
      </c>
      <c r="T41" s="187">
        <v>96</v>
      </c>
      <c r="U41" s="187">
        <v>80</v>
      </c>
      <c r="V41" s="6"/>
      <c r="W41" s="6"/>
      <c r="X41" s="6"/>
      <c r="Y41" s="22"/>
    </row>
    <row r="42" spans="1:25" ht="15" hidden="1" thickBot="1">
      <c r="A42" s="36">
        <v>41</v>
      </c>
      <c r="B42" s="6" t="s">
        <v>22</v>
      </c>
      <c r="C42" s="30">
        <v>8</v>
      </c>
      <c r="D42" s="30">
        <v>3</v>
      </c>
      <c r="E42" s="6" t="s">
        <v>186</v>
      </c>
      <c r="F42" s="6" t="s">
        <v>117</v>
      </c>
      <c r="G42" s="134">
        <v>42892</v>
      </c>
      <c r="H42" s="19">
        <v>42891</v>
      </c>
      <c r="I42" s="19"/>
      <c r="J42" s="92">
        <v>1</v>
      </c>
      <c r="K42" s="153">
        <v>0</v>
      </c>
      <c r="L42" s="157">
        <f t="shared" si="2"/>
        <v>748.02972972972907</v>
      </c>
      <c r="M42" s="161">
        <f t="shared" si="3"/>
        <v>0.74802972972972903</v>
      </c>
      <c r="N42" s="193">
        <v>4</v>
      </c>
      <c r="O42" s="37"/>
      <c r="P42" s="190">
        <v>80</v>
      </c>
      <c r="Q42" s="187">
        <v>129.729729729729</v>
      </c>
      <c r="R42" s="187">
        <v>54</v>
      </c>
      <c r="S42" s="187">
        <v>27.3</v>
      </c>
      <c r="T42" s="187">
        <v>92</v>
      </c>
      <c r="U42" s="187">
        <v>170</v>
      </c>
      <c r="V42" s="6"/>
      <c r="W42" s="6"/>
      <c r="X42" s="6"/>
      <c r="Y42" s="22">
        <v>195</v>
      </c>
    </row>
    <row r="43" spans="1:25" ht="15" hidden="1" thickBot="1">
      <c r="A43" s="36">
        <v>42</v>
      </c>
      <c r="B43" s="6" t="s">
        <v>22</v>
      </c>
      <c r="C43" s="6">
        <v>9</v>
      </c>
      <c r="D43" s="30">
        <v>4</v>
      </c>
      <c r="E43" s="6" t="s">
        <v>181</v>
      </c>
      <c r="F43" s="6" t="s">
        <v>118</v>
      </c>
      <c r="G43" s="134">
        <v>42892</v>
      </c>
      <c r="H43" s="19">
        <v>42891</v>
      </c>
      <c r="I43" s="19"/>
      <c r="J43" s="92">
        <v>1</v>
      </c>
      <c r="K43" s="153">
        <v>0</v>
      </c>
      <c r="L43" s="157">
        <f t="shared" si="2"/>
        <v>738.45945945945959</v>
      </c>
      <c r="M43" s="161">
        <f t="shared" si="3"/>
        <v>0.73845945945945957</v>
      </c>
      <c r="N43" s="193">
        <v>4</v>
      </c>
      <c r="O43" s="37"/>
      <c r="P43" s="190">
        <v>100</v>
      </c>
      <c r="Q43" s="187">
        <v>109.45945945945952</v>
      </c>
      <c r="R43" s="187">
        <v>129</v>
      </c>
      <c r="S43" s="187">
        <v>140</v>
      </c>
      <c r="T43" s="187">
        <v>100</v>
      </c>
      <c r="U43" s="187">
        <v>160</v>
      </c>
      <c r="V43" s="6"/>
      <c r="W43" s="6"/>
      <c r="X43" s="6"/>
      <c r="Y43" s="22"/>
    </row>
    <row r="44" spans="1:25" ht="15" hidden="1" thickBot="1">
      <c r="A44" s="36">
        <v>43</v>
      </c>
      <c r="B44" s="6" t="s">
        <v>22</v>
      </c>
      <c r="C44" s="6">
        <v>10</v>
      </c>
      <c r="D44" s="30">
        <v>3</v>
      </c>
      <c r="E44" s="6" t="s">
        <v>48</v>
      </c>
      <c r="F44" s="6" t="s">
        <v>119</v>
      </c>
      <c r="G44" s="134">
        <v>42892</v>
      </c>
      <c r="H44" s="19">
        <v>42891</v>
      </c>
      <c r="I44" s="19"/>
      <c r="J44" s="92">
        <v>1</v>
      </c>
      <c r="K44" s="153">
        <v>0</v>
      </c>
      <c r="L44" s="157">
        <f t="shared" si="2"/>
        <v>622.57027027027061</v>
      </c>
      <c r="M44" s="161">
        <f t="shared" si="3"/>
        <v>0.62257027027027056</v>
      </c>
      <c r="N44" s="193">
        <v>3</v>
      </c>
      <c r="O44" s="37"/>
      <c r="P44" s="190">
        <v>67.400000000000006</v>
      </c>
      <c r="Q44" s="187">
        <v>110.2702702702707</v>
      </c>
      <c r="R44" s="187">
        <v>108.89999999999999</v>
      </c>
      <c r="S44" s="187">
        <v>156</v>
      </c>
      <c r="T44" s="187">
        <v>100</v>
      </c>
      <c r="U44" s="187">
        <v>80</v>
      </c>
      <c r="V44" s="6"/>
      <c r="W44" s="6"/>
      <c r="X44" s="6"/>
      <c r="Y44" s="22"/>
    </row>
    <row r="45" spans="1:25" ht="15" hidden="1" thickBot="1">
      <c r="A45" s="36">
        <v>44</v>
      </c>
      <c r="B45" s="6" t="s">
        <v>22</v>
      </c>
      <c r="C45" s="30">
        <v>11</v>
      </c>
      <c r="D45" s="30">
        <v>3</v>
      </c>
      <c r="E45" s="6" t="s">
        <v>183</v>
      </c>
      <c r="F45" s="6" t="s">
        <v>120</v>
      </c>
      <c r="G45" s="134">
        <v>42892</v>
      </c>
      <c r="H45" s="19">
        <v>42891</v>
      </c>
      <c r="I45" s="19"/>
      <c r="J45" s="92">
        <v>1</v>
      </c>
      <c r="K45" s="153">
        <v>0</v>
      </c>
      <c r="L45" s="157">
        <f t="shared" si="2"/>
        <v>854.32972972972902</v>
      </c>
      <c r="M45" s="161">
        <f t="shared" si="3"/>
        <v>0.85432972972972898</v>
      </c>
      <c r="N45" s="193">
        <v>5</v>
      </c>
      <c r="O45" s="37"/>
      <c r="P45" s="190">
        <v>80</v>
      </c>
      <c r="Q45" s="187">
        <v>129.729729729729</v>
      </c>
      <c r="R45" s="187">
        <v>120</v>
      </c>
      <c r="S45" s="187">
        <v>171.6</v>
      </c>
      <c r="T45" s="187">
        <v>88</v>
      </c>
      <c r="U45" s="187">
        <v>170</v>
      </c>
      <c r="V45" s="6"/>
      <c r="W45" s="6"/>
      <c r="X45" s="6"/>
      <c r="Y45" s="22">
        <v>95</v>
      </c>
    </row>
    <row r="46" spans="1:25" ht="15" hidden="1" thickBot="1">
      <c r="A46" s="36">
        <v>45</v>
      </c>
      <c r="B46" s="6" t="s">
        <v>22</v>
      </c>
      <c r="C46" s="6">
        <v>12</v>
      </c>
      <c r="D46" s="30">
        <v>3</v>
      </c>
      <c r="E46" s="6" t="s">
        <v>184</v>
      </c>
      <c r="F46" s="6" t="s">
        <v>121</v>
      </c>
      <c r="G46" s="134">
        <v>42892</v>
      </c>
      <c r="H46" s="19">
        <v>42891</v>
      </c>
      <c r="I46" s="6"/>
      <c r="J46" s="92">
        <v>1</v>
      </c>
      <c r="K46" s="153">
        <v>0</v>
      </c>
      <c r="L46" s="157">
        <f t="shared" si="2"/>
        <v>465.18918918918848</v>
      </c>
      <c r="M46" s="161">
        <f t="shared" si="3"/>
        <v>0.4651891891891885</v>
      </c>
      <c r="N46" s="193">
        <v>2</v>
      </c>
      <c r="O46" s="37"/>
      <c r="P46" s="190">
        <v>92</v>
      </c>
      <c r="Q46" s="187">
        <v>89.189189189188497</v>
      </c>
      <c r="R46" s="187">
        <v>48</v>
      </c>
      <c r="S46" s="187">
        <v>0</v>
      </c>
      <c r="T46" s="187">
        <v>96</v>
      </c>
      <c r="U46" s="187">
        <v>140</v>
      </c>
      <c r="V46" s="6"/>
      <c r="W46" s="6"/>
      <c r="X46" s="6"/>
      <c r="Y46" s="22"/>
    </row>
    <row r="47" spans="1:25" ht="15" hidden="1" thickBot="1">
      <c r="A47" s="36">
        <v>46</v>
      </c>
      <c r="B47" s="6" t="s">
        <v>22</v>
      </c>
      <c r="C47" s="6">
        <v>13</v>
      </c>
      <c r="D47" s="30">
        <v>3</v>
      </c>
      <c r="E47" s="30" t="s">
        <v>14</v>
      </c>
      <c r="F47" s="6" t="s">
        <v>46</v>
      </c>
      <c r="G47" s="134">
        <v>42892</v>
      </c>
      <c r="H47" s="19">
        <v>42891</v>
      </c>
      <c r="I47" s="19"/>
      <c r="J47" s="92">
        <v>1</v>
      </c>
      <c r="K47" s="153">
        <v>0</v>
      </c>
      <c r="L47" s="157">
        <f t="shared" si="2"/>
        <v>709.15945945945953</v>
      </c>
      <c r="M47" s="161">
        <f t="shared" si="3"/>
        <v>0.70915945945945957</v>
      </c>
      <c r="N47" s="193">
        <v>4</v>
      </c>
      <c r="O47" s="37"/>
      <c r="P47" s="190">
        <v>88</v>
      </c>
      <c r="Q47" s="187">
        <v>109.45945945945952</v>
      </c>
      <c r="R47" s="187">
        <v>90</v>
      </c>
      <c r="S47" s="187">
        <v>161.69999999999999</v>
      </c>
      <c r="T47" s="187">
        <v>100</v>
      </c>
      <c r="U47" s="187">
        <v>160</v>
      </c>
      <c r="V47" s="6"/>
      <c r="W47" s="6"/>
      <c r="X47" s="6"/>
      <c r="Y47" s="22"/>
    </row>
    <row r="48" spans="1:25" ht="15" hidden="1" thickBot="1">
      <c r="A48" s="36">
        <v>47</v>
      </c>
      <c r="B48" s="30" t="s">
        <v>22</v>
      </c>
      <c r="C48" s="30">
        <v>14</v>
      </c>
      <c r="D48" s="30">
        <v>4</v>
      </c>
      <c r="E48" s="30" t="s">
        <v>187</v>
      </c>
      <c r="F48" s="30" t="s">
        <v>123</v>
      </c>
      <c r="G48" s="134">
        <v>42892</v>
      </c>
      <c r="H48" s="19">
        <v>42891</v>
      </c>
      <c r="I48" s="19"/>
      <c r="J48" s="92">
        <v>1</v>
      </c>
      <c r="K48" s="153">
        <v>0</v>
      </c>
      <c r="L48" s="157">
        <f t="shared" si="2"/>
        <v>671.25135135135201</v>
      </c>
      <c r="M48" s="161">
        <f t="shared" si="3"/>
        <v>0.67125135135135205</v>
      </c>
      <c r="N48" s="193" t="s">
        <v>311</v>
      </c>
      <c r="O48" s="37"/>
      <c r="P48" s="190">
        <v>56.000000000000007</v>
      </c>
      <c r="Q48" s="187">
        <v>101.35135135135201</v>
      </c>
      <c r="R48" s="187">
        <v>83.4</v>
      </c>
      <c r="S48" s="187">
        <v>95.5</v>
      </c>
      <c r="T48" s="187">
        <v>100</v>
      </c>
      <c r="U48" s="187">
        <v>140</v>
      </c>
      <c r="V48" s="6"/>
      <c r="W48" s="6"/>
      <c r="X48" s="6"/>
      <c r="Y48" s="22">
        <v>95</v>
      </c>
    </row>
    <row r="49" spans="1:25" ht="15" hidden="1" thickBot="1">
      <c r="A49" s="36">
        <v>48</v>
      </c>
      <c r="B49" s="30" t="s">
        <v>22</v>
      </c>
      <c r="C49" s="6">
        <v>15</v>
      </c>
      <c r="D49" s="30">
        <v>3</v>
      </c>
      <c r="E49" s="6" t="s">
        <v>186</v>
      </c>
      <c r="F49" s="30" t="s">
        <v>124</v>
      </c>
      <c r="G49" s="134">
        <v>42892</v>
      </c>
      <c r="H49" s="19">
        <v>42891</v>
      </c>
      <c r="I49" s="6"/>
      <c r="J49" s="92">
        <v>1</v>
      </c>
      <c r="K49" s="153">
        <v>0</v>
      </c>
      <c r="L49" s="157">
        <f t="shared" si="2"/>
        <v>505.19540540540555</v>
      </c>
      <c r="M49" s="161">
        <f t="shared" si="3"/>
        <v>0.50519540540540553</v>
      </c>
      <c r="N49" s="193" t="s">
        <v>323</v>
      </c>
      <c r="O49" s="123"/>
      <c r="P49" s="190">
        <v>91.2</v>
      </c>
      <c r="Q49" s="187">
        <v>135.40540540540559</v>
      </c>
      <c r="R49" s="187">
        <v>78.75</v>
      </c>
      <c r="S49" s="187">
        <v>99.839999999999989</v>
      </c>
      <c r="T49" s="187">
        <v>100</v>
      </c>
      <c r="U49" s="187">
        <v>0</v>
      </c>
      <c r="V49" s="6"/>
      <c r="W49" s="6"/>
      <c r="X49" s="6"/>
      <c r="Y49" s="22"/>
    </row>
    <row r="50" spans="1:25" ht="15" hidden="1" thickBot="1">
      <c r="A50" s="36">
        <v>49</v>
      </c>
      <c r="B50" s="30" t="s">
        <v>22</v>
      </c>
      <c r="C50" s="6">
        <v>16</v>
      </c>
      <c r="D50" s="30">
        <v>4</v>
      </c>
      <c r="E50" s="30" t="s">
        <v>125</v>
      </c>
      <c r="F50" s="30" t="s">
        <v>126</v>
      </c>
      <c r="G50" s="134">
        <v>42892</v>
      </c>
      <c r="H50" s="19">
        <v>42891</v>
      </c>
      <c r="I50" s="19"/>
      <c r="J50" s="92">
        <v>1</v>
      </c>
      <c r="K50" s="153">
        <v>0</v>
      </c>
      <c r="L50" s="157">
        <f t="shared" si="2"/>
        <v>582.61945945945945</v>
      </c>
      <c r="M50" s="161">
        <f t="shared" si="3"/>
        <v>0.58261945945945948</v>
      </c>
      <c r="N50" s="193">
        <v>3</v>
      </c>
      <c r="O50" s="37"/>
      <c r="P50" s="190">
        <v>91.4</v>
      </c>
      <c r="Q50" s="187">
        <v>109.45945945945952</v>
      </c>
      <c r="R50" s="187">
        <v>75</v>
      </c>
      <c r="S50" s="187">
        <v>104.76</v>
      </c>
      <c r="T50" s="187">
        <v>72</v>
      </c>
      <c r="U50" s="187">
        <v>130</v>
      </c>
      <c r="V50" s="6"/>
      <c r="W50" s="6"/>
      <c r="X50" s="6"/>
      <c r="Y50" s="22"/>
    </row>
    <row r="51" spans="1:25" ht="15" hidden="1" thickBot="1">
      <c r="A51" s="36">
        <v>50</v>
      </c>
      <c r="B51" s="30" t="s">
        <v>22</v>
      </c>
      <c r="C51" s="30">
        <v>17</v>
      </c>
      <c r="D51" s="30">
        <v>3</v>
      </c>
      <c r="E51" s="30" t="s">
        <v>127</v>
      </c>
      <c r="F51" s="30" t="s">
        <v>52</v>
      </c>
      <c r="G51" s="134">
        <v>42892</v>
      </c>
      <c r="H51" s="19">
        <v>42891</v>
      </c>
      <c r="I51" s="19"/>
      <c r="J51" s="92">
        <v>1</v>
      </c>
      <c r="K51" s="153">
        <v>0</v>
      </c>
      <c r="L51" s="157">
        <f t="shared" si="2"/>
        <v>697.18918918918894</v>
      </c>
      <c r="M51" s="161">
        <f t="shared" si="3"/>
        <v>0.69718918918918893</v>
      </c>
      <c r="N51" s="193" t="s">
        <v>311</v>
      </c>
      <c r="O51" s="37"/>
      <c r="P51" s="190">
        <v>96</v>
      </c>
      <c r="Q51" s="187">
        <v>129.18918918918888</v>
      </c>
      <c r="R51" s="187">
        <v>78</v>
      </c>
      <c r="S51" s="187">
        <v>144</v>
      </c>
      <c r="T51" s="187">
        <v>100</v>
      </c>
      <c r="U51" s="187">
        <v>150</v>
      </c>
      <c r="V51" s="6"/>
      <c r="W51" s="6"/>
      <c r="X51" s="6"/>
      <c r="Y51" s="22"/>
    </row>
    <row r="52" spans="1:25" ht="15" hidden="1" thickBot="1">
      <c r="A52" s="36">
        <v>51</v>
      </c>
      <c r="B52" s="30" t="s">
        <v>22</v>
      </c>
      <c r="C52" s="6">
        <v>18</v>
      </c>
      <c r="D52" s="30">
        <v>3</v>
      </c>
      <c r="E52" s="30" t="s">
        <v>128</v>
      </c>
      <c r="F52" s="30" t="s">
        <v>129</v>
      </c>
      <c r="G52" s="134">
        <v>42892</v>
      </c>
      <c r="H52" s="19">
        <v>42891</v>
      </c>
      <c r="I52" s="19"/>
      <c r="J52" s="92">
        <v>1</v>
      </c>
      <c r="K52" s="153">
        <v>0</v>
      </c>
      <c r="L52" s="157">
        <f t="shared" si="2"/>
        <v>223.3</v>
      </c>
      <c r="M52" s="161">
        <f t="shared" si="3"/>
        <v>0.2233</v>
      </c>
      <c r="N52" s="193">
        <v>1</v>
      </c>
      <c r="O52" s="37"/>
      <c r="P52" s="190">
        <v>52</v>
      </c>
      <c r="Q52" s="187">
        <v>0</v>
      </c>
      <c r="R52" s="187">
        <v>0.89999999999999991</v>
      </c>
      <c r="S52" s="187">
        <v>0</v>
      </c>
      <c r="T52" s="187">
        <v>90.4</v>
      </c>
      <c r="U52" s="187">
        <v>80</v>
      </c>
      <c r="V52" s="6"/>
      <c r="W52" s="6"/>
      <c r="X52" s="6"/>
      <c r="Y52" s="22"/>
    </row>
    <row r="53" spans="1:25" ht="15" hidden="1" thickBot="1">
      <c r="A53" s="36">
        <v>52</v>
      </c>
      <c r="B53" s="30" t="s">
        <v>22</v>
      </c>
      <c r="C53" s="6">
        <v>19</v>
      </c>
      <c r="D53" s="30">
        <v>3</v>
      </c>
      <c r="E53" s="30" t="s">
        <v>14</v>
      </c>
      <c r="F53" s="30" t="s">
        <v>130</v>
      </c>
      <c r="G53" s="134">
        <v>42892</v>
      </c>
      <c r="H53" s="19">
        <v>42891</v>
      </c>
      <c r="I53" s="19"/>
      <c r="J53" s="92">
        <v>1</v>
      </c>
      <c r="K53" s="153">
        <v>0</v>
      </c>
      <c r="L53" s="157">
        <f t="shared" si="2"/>
        <v>810.141351351352</v>
      </c>
      <c r="M53" s="161">
        <f t="shared" si="3"/>
        <v>0.81014135135135201</v>
      </c>
      <c r="N53" s="193">
        <v>5</v>
      </c>
      <c r="O53" s="37"/>
      <c r="P53" s="190">
        <v>78.599999999999994</v>
      </c>
      <c r="Q53" s="187">
        <v>101.35135135135201</v>
      </c>
      <c r="R53" s="187">
        <v>110.19000000000001</v>
      </c>
      <c r="S53" s="187">
        <v>165</v>
      </c>
      <c r="T53" s="187">
        <v>100</v>
      </c>
      <c r="U53" s="187">
        <v>160</v>
      </c>
      <c r="V53" s="6"/>
      <c r="W53" s="6"/>
      <c r="X53" s="6"/>
      <c r="Y53" s="22">
        <v>95</v>
      </c>
    </row>
    <row r="54" spans="1:25" ht="15" hidden="1" thickBot="1">
      <c r="A54" s="36">
        <v>53</v>
      </c>
      <c r="B54" s="30" t="s">
        <v>22</v>
      </c>
      <c r="C54" s="30">
        <v>20</v>
      </c>
      <c r="D54" s="30">
        <v>3</v>
      </c>
      <c r="E54" s="6" t="s">
        <v>48</v>
      </c>
      <c r="F54" s="30" t="s">
        <v>131</v>
      </c>
      <c r="G54" s="134">
        <v>42892</v>
      </c>
      <c r="H54" s="19">
        <v>42891</v>
      </c>
      <c r="I54" s="19"/>
      <c r="J54" s="92">
        <v>1</v>
      </c>
      <c r="K54" s="153">
        <v>0</v>
      </c>
      <c r="L54" s="157">
        <f t="shared" si="2"/>
        <v>762.35675675675611</v>
      </c>
      <c r="M54" s="161">
        <f t="shared" si="3"/>
        <v>0.76235675675675607</v>
      </c>
      <c r="N54" s="193">
        <v>4</v>
      </c>
      <c r="O54" s="37"/>
      <c r="P54" s="190">
        <v>92</v>
      </c>
      <c r="Q54" s="187">
        <v>126.7567567567561</v>
      </c>
      <c r="R54" s="187">
        <v>111</v>
      </c>
      <c r="S54" s="187">
        <v>172.6</v>
      </c>
      <c r="T54" s="187">
        <v>100</v>
      </c>
      <c r="U54" s="187">
        <v>160</v>
      </c>
      <c r="V54" s="6"/>
      <c r="W54" s="6"/>
      <c r="X54" s="6"/>
      <c r="Y54" s="22"/>
    </row>
    <row r="55" spans="1:25" ht="15" hidden="1" thickBot="1">
      <c r="A55" s="36">
        <v>54</v>
      </c>
      <c r="B55" s="30" t="s">
        <v>22</v>
      </c>
      <c r="C55" s="6">
        <v>21</v>
      </c>
      <c r="D55" s="30">
        <v>4</v>
      </c>
      <c r="E55" s="30" t="s">
        <v>185</v>
      </c>
      <c r="F55" s="30" t="s">
        <v>60</v>
      </c>
      <c r="G55" s="134">
        <v>42892</v>
      </c>
      <c r="H55" s="19">
        <v>42891</v>
      </c>
      <c r="I55" s="19"/>
      <c r="J55" s="92">
        <v>1</v>
      </c>
      <c r="K55" s="153">
        <v>0</v>
      </c>
      <c r="L55" s="157">
        <f t="shared" si="2"/>
        <v>440.18918918918848</v>
      </c>
      <c r="M55" s="161">
        <f t="shared" si="3"/>
        <v>0.44018918918918848</v>
      </c>
      <c r="N55" s="193">
        <v>2</v>
      </c>
      <c r="O55" s="37"/>
      <c r="P55" s="190">
        <v>80</v>
      </c>
      <c r="Q55" s="187">
        <v>89.189189189188497</v>
      </c>
      <c r="R55" s="187">
        <v>69</v>
      </c>
      <c r="S55" s="187">
        <v>0</v>
      </c>
      <c r="T55" s="187">
        <v>72</v>
      </c>
      <c r="U55" s="187">
        <v>130</v>
      </c>
      <c r="V55" s="6"/>
      <c r="W55" s="6"/>
      <c r="X55" s="6"/>
      <c r="Y55" s="22"/>
    </row>
    <row r="56" spans="1:25" ht="15" hidden="1" thickBot="1">
      <c r="A56" s="36">
        <v>55</v>
      </c>
      <c r="B56" s="30" t="s">
        <v>22</v>
      </c>
      <c r="C56" s="6">
        <v>22</v>
      </c>
      <c r="D56" s="30">
        <v>4</v>
      </c>
      <c r="E56" s="30" t="s">
        <v>0</v>
      </c>
      <c r="F56" s="30" t="s">
        <v>106</v>
      </c>
      <c r="G56" s="134">
        <v>42892</v>
      </c>
      <c r="H56" s="19">
        <v>42891</v>
      </c>
      <c r="I56" s="19"/>
      <c r="J56" s="92">
        <v>1</v>
      </c>
      <c r="K56" s="153">
        <v>0</v>
      </c>
      <c r="L56" s="157">
        <f t="shared" si="2"/>
        <v>784.729729729729</v>
      </c>
      <c r="M56" s="161">
        <f t="shared" si="3"/>
        <v>0.78472972972972899</v>
      </c>
      <c r="N56" s="193">
        <v>4</v>
      </c>
      <c r="O56" s="37"/>
      <c r="P56" s="190">
        <v>72</v>
      </c>
      <c r="Q56" s="187">
        <v>129.729729729729</v>
      </c>
      <c r="R56" s="187">
        <v>105</v>
      </c>
      <c r="S56" s="187">
        <v>165</v>
      </c>
      <c r="T56" s="187">
        <v>88</v>
      </c>
      <c r="U56" s="187">
        <v>130</v>
      </c>
      <c r="V56" s="6"/>
      <c r="W56" s="6"/>
      <c r="X56" s="6"/>
      <c r="Y56" s="22">
        <v>95</v>
      </c>
    </row>
    <row r="57" spans="1:25" ht="15" hidden="1" thickBot="1">
      <c r="A57" s="36">
        <v>56</v>
      </c>
      <c r="B57" s="6" t="s">
        <v>22</v>
      </c>
      <c r="C57" s="30">
        <v>23</v>
      </c>
      <c r="D57" s="30">
        <v>3</v>
      </c>
      <c r="E57" s="6" t="s">
        <v>12</v>
      </c>
      <c r="F57" s="6" t="s">
        <v>132</v>
      </c>
      <c r="G57" s="134">
        <v>42892</v>
      </c>
      <c r="H57" s="19">
        <v>42891</v>
      </c>
      <c r="I57" s="19"/>
      <c r="J57" s="92">
        <v>1</v>
      </c>
      <c r="K57" s="153">
        <v>0</v>
      </c>
      <c r="L57" s="157">
        <f t="shared" si="2"/>
        <v>779.76540540540498</v>
      </c>
      <c r="M57" s="161">
        <f t="shared" si="3"/>
        <v>0.77976540540540495</v>
      </c>
      <c r="N57" s="193">
        <v>3</v>
      </c>
      <c r="O57" s="37"/>
      <c r="P57" s="190">
        <v>72</v>
      </c>
      <c r="Q57" s="187">
        <v>105.40540540540499</v>
      </c>
      <c r="R57" s="187">
        <v>81</v>
      </c>
      <c r="S57" s="187">
        <v>111.36000000000001</v>
      </c>
      <c r="T57" s="187">
        <v>100</v>
      </c>
      <c r="U57" s="187">
        <v>150</v>
      </c>
      <c r="V57" s="6">
        <v>160</v>
      </c>
      <c r="W57" s="6"/>
      <c r="X57" s="6"/>
      <c r="Y57" s="22"/>
    </row>
    <row r="58" spans="1:25" ht="15" hidden="1" thickBot="1">
      <c r="A58" s="36">
        <v>57</v>
      </c>
      <c r="B58" s="30" t="s">
        <v>22</v>
      </c>
      <c r="C58" s="6">
        <v>24</v>
      </c>
      <c r="D58" s="30">
        <v>3</v>
      </c>
      <c r="E58" s="30" t="s">
        <v>0</v>
      </c>
      <c r="F58" s="30" t="s">
        <v>54</v>
      </c>
      <c r="G58" s="134">
        <v>42892</v>
      </c>
      <c r="H58" s="19">
        <v>42891</v>
      </c>
      <c r="I58" s="19"/>
      <c r="J58" s="92">
        <v>1</v>
      </c>
      <c r="K58" s="153">
        <v>0</v>
      </c>
      <c r="L58" s="157">
        <f t="shared" si="2"/>
        <v>702.85945945945991</v>
      </c>
      <c r="M58" s="161">
        <f t="shared" si="3"/>
        <v>0.70285945945945993</v>
      </c>
      <c r="N58" s="193">
        <v>4</v>
      </c>
      <c r="O58" s="37"/>
      <c r="P58" s="190">
        <v>80</v>
      </c>
      <c r="Q58" s="187">
        <v>109.45945945945989</v>
      </c>
      <c r="R58" s="187">
        <v>98.4</v>
      </c>
      <c r="S58" s="187">
        <v>165</v>
      </c>
      <c r="T58" s="187">
        <v>100</v>
      </c>
      <c r="U58" s="187">
        <v>150</v>
      </c>
      <c r="V58" s="6"/>
      <c r="W58" s="6"/>
      <c r="X58" s="6"/>
      <c r="Y58" s="22"/>
    </row>
    <row r="59" spans="1:25" ht="15" hidden="1" thickBot="1">
      <c r="A59" s="36">
        <v>58</v>
      </c>
      <c r="B59" s="30" t="s">
        <v>22</v>
      </c>
      <c r="C59" s="6">
        <v>25</v>
      </c>
      <c r="D59" s="30">
        <v>3</v>
      </c>
      <c r="E59" s="30" t="s">
        <v>100</v>
      </c>
      <c r="F59" s="30" t="s">
        <v>133</v>
      </c>
      <c r="G59" s="134">
        <v>42892</v>
      </c>
      <c r="H59" s="19">
        <v>42891</v>
      </c>
      <c r="I59" s="19"/>
      <c r="J59" s="92">
        <v>1</v>
      </c>
      <c r="K59" s="153">
        <v>0</v>
      </c>
      <c r="L59" s="157">
        <f t="shared" si="2"/>
        <v>574.72702702702657</v>
      </c>
      <c r="M59" s="161">
        <f t="shared" si="3"/>
        <v>0.5747270270270266</v>
      </c>
      <c r="N59" s="193">
        <v>3</v>
      </c>
      <c r="O59" s="37"/>
      <c r="P59" s="190">
        <v>68</v>
      </c>
      <c r="Q59" s="187">
        <v>77.027027027026506</v>
      </c>
      <c r="R59" s="187">
        <v>84.000000000000014</v>
      </c>
      <c r="S59" s="187">
        <v>103.3</v>
      </c>
      <c r="T59" s="187">
        <v>92.4</v>
      </c>
      <c r="U59" s="187">
        <v>150</v>
      </c>
      <c r="V59" s="6"/>
      <c r="W59" s="6"/>
      <c r="X59" s="6"/>
      <c r="Y59" s="22"/>
    </row>
    <row r="60" spans="1:25" ht="15" hidden="1" thickBot="1">
      <c r="A60" s="36">
        <v>59</v>
      </c>
      <c r="B60" s="30" t="s">
        <v>22</v>
      </c>
      <c r="C60" s="30">
        <v>26</v>
      </c>
      <c r="D60" s="30">
        <v>4</v>
      </c>
      <c r="E60" s="6" t="s">
        <v>12</v>
      </c>
      <c r="F60" s="30" t="s">
        <v>111</v>
      </c>
      <c r="G60" s="134">
        <v>42892</v>
      </c>
      <c r="H60" s="19">
        <v>42891</v>
      </c>
      <c r="I60" s="19"/>
      <c r="J60" s="92">
        <v>1</v>
      </c>
      <c r="K60" s="153">
        <v>0</v>
      </c>
      <c r="L60" s="157">
        <f t="shared" si="2"/>
        <v>667.08108108108036</v>
      </c>
      <c r="M60" s="161">
        <f t="shared" si="3"/>
        <v>0.66708108108108033</v>
      </c>
      <c r="N60" s="193" t="s">
        <v>311</v>
      </c>
      <c r="O60" s="37"/>
      <c r="P60" s="190">
        <v>80</v>
      </c>
      <c r="Q60" s="187">
        <v>121.0810810810804</v>
      </c>
      <c r="R60" s="187">
        <v>102</v>
      </c>
      <c r="S60" s="187">
        <v>168</v>
      </c>
      <c r="T60" s="187">
        <v>76</v>
      </c>
      <c r="U60" s="187">
        <v>120</v>
      </c>
      <c r="V60" s="6"/>
      <c r="W60" s="6"/>
      <c r="X60" s="6"/>
      <c r="Y60" s="22"/>
    </row>
    <row r="61" spans="1:25" ht="15" hidden="1" thickBot="1">
      <c r="A61" s="36">
        <v>60</v>
      </c>
      <c r="B61" s="30" t="s">
        <v>22</v>
      </c>
      <c r="C61" s="6">
        <v>27</v>
      </c>
      <c r="D61" s="30">
        <v>3</v>
      </c>
      <c r="E61" s="30" t="s">
        <v>19</v>
      </c>
      <c r="F61" s="30" t="s">
        <v>111</v>
      </c>
      <c r="G61" s="134">
        <v>42892</v>
      </c>
      <c r="H61" s="19">
        <v>42891</v>
      </c>
      <c r="I61" s="6"/>
      <c r="J61" s="92">
        <v>1</v>
      </c>
      <c r="K61" s="153">
        <v>0</v>
      </c>
      <c r="L61" s="157">
        <f t="shared" si="2"/>
        <v>680.27783783783798</v>
      </c>
      <c r="M61" s="161">
        <f t="shared" si="3"/>
        <v>0.68027783783783802</v>
      </c>
      <c r="N61" s="193">
        <v>3</v>
      </c>
      <c r="O61" s="37"/>
      <c r="P61" s="190">
        <v>56.000000000000007</v>
      </c>
      <c r="Q61" s="187">
        <v>137.83783783783798</v>
      </c>
      <c r="R61" s="187">
        <v>86.999999999999986</v>
      </c>
      <c r="S61" s="187">
        <v>147.44</v>
      </c>
      <c r="T61" s="187">
        <v>92</v>
      </c>
      <c r="U61" s="187">
        <v>0</v>
      </c>
      <c r="V61" s="6">
        <v>160</v>
      </c>
      <c r="W61" s="6"/>
      <c r="X61" s="6"/>
      <c r="Y61" s="22"/>
    </row>
    <row r="62" spans="1:25" ht="15" hidden="1" thickBot="1">
      <c r="A62" s="38">
        <v>83</v>
      </c>
      <c r="B62" s="31" t="s">
        <v>22</v>
      </c>
      <c r="C62" s="24">
        <v>28</v>
      </c>
      <c r="D62" s="31">
        <v>3</v>
      </c>
      <c r="E62" s="31" t="s">
        <v>100</v>
      </c>
      <c r="F62" s="31" t="s">
        <v>150</v>
      </c>
      <c r="G62" s="129">
        <v>42892</v>
      </c>
      <c r="H62" s="25">
        <v>42891</v>
      </c>
      <c r="I62" s="25"/>
      <c r="J62" s="93">
        <v>1</v>
      </c>
      <c r="K62" s="154">
        <v>0</v>
      </c>
      <c r="L62" s="158">
        <f t="shared" si="2"/>
        <v>436.71351351351399</v>
      </c>
      <c r="M62" s="162">
        <f t="shared" si="3"/>
        <v>0.43671351351351401</v>
      </c>
      <c r="N62" s="194">
        <v>3</v>
      </c>
      <c r="O62" s="99"/>
      <c r="P62" s="191">
        <v>92</v>
      </c>
      <c r="Q62" s="188">
        <v>113.513513513514</v>
      </c>
      <c r="R62" s="188">
        <v>24</v>
      </c>
      <c r="S62" s="188">
        <v>0</v>
      </c>
      <c r="T62" s="188">
        <v>87.2</v>
      </c>
      <c r="U62" s="188">
        <v>120</v>
      </c>
      <c r="V62" s="24"/>
      <c r="W62" s="24"/>
      <c r="X62" s="24"/>
      <c r="Y62" s="28"/>
    </row>
    <row r="63" spans="1:25">
      <c r="A63" s="35">
        <v>61</v>
      </c>
      <c r="B63" s="33" t="s">
        <v>23</v>
      </c>
      <c r="C63" s="4">
        <v>1</v>
      </c>
      <c r="D63" s="33">
        <v>5</v>
      </c>
      <c r="E63" s="33" t="s">
        <v>12</v>
      </c>
      <c r="F63" s="4" t="s">
        <v>134</v>
      </c>
      <c r="G63" s="140">
        <v>42892</v>
      </c>
      <c r="H63" s="14">
        <v>42891</v>
      </c>
      <c r="I63" s="14"/>
      <c r="J63" s="94">
        <v>1</v>
      </c>
      <c r="K63" s="152">
        <v>0</v>
      </c>
      <c r="L63" s="156">
        <f>SUM(P63:Y63)</f>
        <v>177.40540540540499</v>
      </c>
      <c r="M63" s="160">
        <f>L63/$L$2</f>
        <v>0.177405405405405</v>
      </c>
      <c r="N63" s="192">
        <v>1</v>
      </c>
      <c r="O63" s="95"/>
      <c r="P63" s="189">
        <v>68</v>
      </c>
      <c r="Q63" s="186">
        <v>105.40540540540499</v>
      </c>
      <c r="R63" s="186">
        <v>0</v>
      </c>
      <c r="S63" s="186">
        <v>0</v>
      </c>
      <c r="T63" s="186">
        <v>4</v>
      </c>
      <c r="U63" s="186">
        <v>0</v>
      </c>
      <c r="V63" s="4"/>
      <c r="W63" s="4"/>
      <c r="X63" s="4"/>
      <c r="Y63" s="17"/>
    </row>
    <row r="64" spans="1:25">
      <c r="A64" s="36">
        <v>63</v>
      </c>
      <c r="B64" s="30" t="s">
        <v>23</v>
      </c>
      <c r="C64" s="30">
        <v>3</v>
      </c>
      <c r="D64" s="30">
        <v>6</v>
      </c>
      <c r="E64" s="30" t="s">
        <v>82</v>
      </c>
      <c r="F64" s="6" t="s">
        <v>136</v>
      </c>
      <c r="G64" s="134">
        <v>42892</v>
      </c>
      <c r="H64" s="19">
        <v>42891</v>
      </c>
      <c r="I64" s="19"/>
      <c r="J64" s="92">
        <v>1</v>
      </c>
      <c r="K64" s="153">
        <v>0</v>
      </c>
      <c r="L64" s="157">
        <f>SUM(P64:Y64)</f>
        <v>584.09189189189237</v>
      </c>
      <c r="M64" s="161">
        <f>L64/$L$2</f>
        <v>0.58409189189189237</v>
      </c>
      <c r="N64" s="193">
        <v>3</v>
      </c>
      <c r="O64" s="37"/>
      <c r="P64" s="190">
        <v>52</v>
      </c>
      <c r="Q64" s="187">
        <v>111.89189189189234</v>
      </c>
      <c r="R64" s="187">
        <v>93</v>
      </c>
      <c r="S64" s="187">
        <v>136</v>
      </c>
      <c r="T64" s="187">
        <v>91.2</v>
      </c>
      <c r="U64" s="187">
        <v>100</v>
      </c>
      <c r="V64" s="6"/>
      <c r="W64" s="6"/>
      <c r="X64" s="6"/>
      <c r="Y64" s="22"/>
    </row>
    <row r="65" spans="1:25">
      <c r="A65" s="36">
        <v>64</v>
      </c>
      <c r="B65" s="30" t="s">
        <v>23</v>
      </c>
      <c r="C65" s="6">
        <v>4</v>
      </c>
      <c r="D65" s="30">
        <v>6</v>
      </c>
      <c r="E65" s="30" t="s">
        <v>10</v>
      </c>
      <c r="F65" s="30" t="s">
        <v>137</v>
      </c>
      <c r="G65" s="134">
        <v>42892</v>
      </c>
      <c r="H65" s="19">
        <v>42891</v>
      </c>
      <c r="I65" s="19"/>
      <c r="J65" s="92">
        <v>1</v>
      </c>
      <c r="K65" s="153">
        <v>0</v>
      </c>
      <c r="L65" s="157">
        <f>SUM(P65:Y65)</f>
        <v>144.91891891891899</v>
      </c>
      <c r="M65" s="161">
        <f>L65/$L$2</f>
        <v>0.144918918918919</v>
      </c>
      <c r="N65" s="193">
        <v>1</v>
      </c>
      <c r="O65" s="37"/>
      <c r="P65" s="190">
        <v>76</v>
      </c>
      <c r="Q65" s="187">
        <v>68.91891891891899</v>
      </c>
      <c r="R65" s="187">
        <v>0</v>
      </c>
      <c r="S65" s="187">
        <v>0</v>
      </c>
      <c r="T65" s="187">
        <v>0</v>
      </c>
      <c r="U65" s="187">
        <v>0</v>
      </c>
      <c r="V65" s="6"/>
      <c r="W65" s="6"/>
      <c r="X65" s="6"/>
      <c r="Y65" s="22"/>
    </row>
    <row r="66" spans="1:25">
      <c r="A66" s="36">
        <v>65</v>
      </c>
      <c r="B66" s="30" t="s">
        <v>23</v>
      </c>
      <c r="C66" s="6">
        <v>5</v>
      </c>
      <c r="D66" s="30">
        <v>6</v>
      </c>
      <c r="E66" s="30" t="s">
        <v>68</v>
      </c>
      <c r="F66" s="6" t="s">
        <v>138</v>
      </c>
      <c r="G66" s="134">
        <v>42892</v>
      </c>
      <c r="H66" s="19">
        <v>42891</v>
      </c>
      <c r="I66" s="19"/>
      <c r="J66" s="92">
        <v>1</v>
      </c>
      <c r="K66" s="153">
        <v>0</v>
      </c>
      <c r="L66" s="157">
        <f>SUM(P66:Y66)</f>
        <v>628.55351351351396</v>
      </c>
      <c r="M66" s="161">
        <f>L66/$L$2</f>
        <v>0.62855351351351396</v>
      </c>
      <c r="N66" s="193" t="s">
        <v>311</v>
      </c>
      <c r="O66" s="37"/>
      <c r="P66" s="190">
        <v>88</v>
      </c>
      <c r="Q66" s="187">
        <v>113.513513513514</v>
      </c>
      <c r="R66" s="187">
        <v>111</v>
      </c>
      <c r="S66" s="187">
        <v>116.03999999999999</v>
      </c>
      <c r="T66" s="187">
        <v>100</v>
      </c>
      <c r="U66" s="187">
        <v>100</v>
      </c>
      <c r="V66" s="6"/>
      <c r="W66" s="6"/>
      <c r="X66" s="6"/>
      <c r="Y66" s="22"/>
    </row>
    <row r="67" spans="1:25">
      <c r="A67" s="36">
        <v>66</v>
      </c>
      <c r="B67" s="30" t="s">
        <v>23</v>
      </c>
      <c r="C67" s="30">
        <v>6</v>
      </c>
      <c r="D67" s="30">
        <v>5</v>
      </c>
      <c r="E67" s="30" t="s">
        <v>12</v>
      </c>
      <c r="F67" s="30" t="s">
        <v>45</v>
      </c>
      <c r="G67" s="134">
        <v>42892</v>
      </c>
      <c r="H67" s="19">
        <v>42891</v>
      </c>
      <c r="I67" s="19"/>
      <c r="J67" s="92">
        <v>1</v>
      </c>
      <c r="K67" s="153">
        <v>0</v>
      </c>
      <c r="L67" s="157">
        <f t="shared" ref="L67:L98" si="4">SUM(P67:Y67)</f>
        <v>570.40540540540496</v>
      </c>
      <c r="M67" s="161">
        <f t="shared" ref="M67:M98" si="5">L67/$L$2</f>
        <v>0.57040540540540496</v>
      </c>
      <c r="N67" s="193">
        <v>3</v>
      </c>
      <c r="O67" s="37"/>
      <c r="P67" s="190">
        <v>96</v>
      </c>
      <c r="Q67" s="187">
        <v>105.40540540540499</v>
      </c>
      <c r="R67" s="187">
        <v>105</v>
      </c>
      <c r="S67" s="187">
        <v>168</v>
      </c>
      <c r="T67" s="187">
        <v>96</v>
      </c>
      <c r="U67" s="187">
        <v>0</v>
      </c>
      <c r="V67" s="6"/>
      <c r="W67" s="6"/>
      <c r="X67" s="6"/>
      <c r="Y67" s="22"/>
    </row>
    <row r="68" spans="1:25">
      <c r="A68" s="36">
        <v>67</v>
      </c>
      <c r="B68" s="30" t="s">
        <v>23</v>
      </c>
      <c r="C68" s="6">
        <v>7</v>
      </c>
      <c r="D68" s="30">
        <v>6</v>
      </c>
      <c r="E68" s="30" t="s">
        <v>190</v>
      </c>
      <c r="F68" s="6" t="s">
        <v>139</v>
      </c>
      <c r="G68" s="134">
        <v>42892</v>
      </c>
      <c r="H68" s="19">
        <v>42891</v>
      </c>
      <c r="I68" s="19"/>
      <c r="J68" s="92">
        <v>1</v>
      </c>
      <c r="K68" s="153">
        <v>0</v>
      </c>
      <c r="L68" s="157">
        <f t="shared" si="4"/>
        <v>368.92972972972899</v>
      </c>
      <c r="M68" s="161">
        <f t="shared" si="5"/>
        <v>0.36892972972972898</v>
      </c>
      <c r="N68" s="193">
        <v>2</v>
      </c>
      <c r="O68" s="37"/>
      <c r="P68" s="190">
        <v>76</v>
      </c>
      <c r="Q68" s="187">
        <v>129.729729729729</v>
      </c>
      <c r="R68" s="187">
        <v>54</v>
      </c>
      <c r="S68" s="187">
        <v>0</v>
      </c>
      <c r="T68" s="187">
        <v>49.2</v>
      </c>
      <c r="U68" s="187">
        <v>60</v>
      </c>
      <c r="V68" s="6"/>
      <c r="W68" s="6"/>
      <c r="X68" s="6"/>
      <c r="Y68" s="22"/>
    </row>
    <row r="69" spans="1:25">
      <c r="A69" s="36">
        <v>68</v>
      </c>
      <c r="B69" s="30" t="s">
        <v>23</v>
      </c>
      <c r="C69" s="6">
        <v>8</v>
      </c>
      <c r="D69" s="30">
        <v>6</v>
      </c>
      <c r="E69" s="30" t="s">
        <v>82</v>
      </c>
      <c r="F69" s="6" t="s">
        <v>140</v>
      </c>
      <c r="G69" s="134">
        <v>42892</v>
      </c>
      <c r="H69" s="19">
        <v>42891</v>
      </c>
      <c r="I69" s="19"/>
      <c r="J69" s="92">
        <v>1</v>
      </c>
      <c r="K69" s="153">
        <v>0</v>
      </c>
      <c r="L69" s="157">
        <f t="shared" si="4"/>
        <v>389.03783783783797</v>
      </c>
      <c r="M69" s="161">
        <f t="shared" si="5"/>
        <v>0.38903783783783796</v>
      </c>
      <c r="N69" s="193">
        <v>2</v>
      </c>
      <c r="O69" s="37"/>
      <c r="P69" s="190">
        <v>80</v>
      </c>
      <c r="Q69" s="187">
        <v>137.83783783783798</v>
      </c>
      <c r="R69" s="187">
        <v>6</v>
      </c>
      <c r="S69" s="187">
        <v>0</v>
      </c>
      <c r="T69" s="187">
        <v>65.2</v>
      </c>
      <c r="U69" s="187">
        <v>100</v>
      </c>
      <c r="V69" s="6"/>
      <c r="W69" s="6"/>
      <c r="X69" s="6"/>
      <c r="Y69" s="22"/>
    </row>
    <row r="70" spans="1:25">
      <c r="A70" s="36">
        <v>69</v>
      </c>
      <c r="B70" s="30" t="s">
        <v>23</v>
      </c>
      <c r="C70" s="30">
        <v>9</v>
      </c>
      <c r="D70" s="30">
        <v>6</v>
      </c>
      <c r="E70" s="30" t="s">
        <v>65</v>
      </c>
      <c r="F70" s="6" t="s">
        <v>141</v>
      </c>
      <c r="G70" s="134">
        <v>42892</v>
      </c>
      <c r="H70" s="19">
        <v>42891</v>
      </c>
      <c r="I70" s="19"/>
      <c r="J70" s="92">
        <v>1</v>
      </c>
      <c r="K70" s="153">
        <v>0</v>
      </c>
      <c r="L70" s="157">
        <f t="shared" si="4"/>
        <v>758.96540540540491</v>
      </c>
      <c r="M70" s="161">
        <f t="shared" si="5"/>
        <v>0.75896540540540491</v>
      </c>
      <c r="N70" s="193">
        <v>4</v>
      </c>
      <c r="O70" s="37"/>
      <c r="P70" s="190">
        <v>96</v>
      </c>
      <c r="Q70" s="187">
        <v>105.40540540540499</v>
      </c>
      <c r="R70" s="187">
        <v>111</v>
      </c>
      <c r="S70" s="187">
        <v>96.16</v>
      </c>
      <c r="T70" s="187">
        <v>90.4</v>
      </c>
      <c r="U70" s="187">
        <v>160</v>
      </c>
      <c r="V70" s="6"/>
      <c r="W70" s="6"/>
      <c r="X70" s="6">
        <v>100</v>
      </c>
      <c r="Y70" s="22"/>
    </row>
    <row r="71" spans="1:25">
      <c r="A71" s="36">
        <v>70</v>
      </c>
      <c r="B71" s="30" t="s">
        <v>23</v>
      </c>
      <c r="C71" s="6">
        <v>10</v>
      </c>
      <c r="D71" s="30">
        <v>6</v>
      </c>
      <c r="E71" s="30" t="s">
        <v>14</v>
      </c>
      <c r="F71" s="6" t="s">
        <v>142</v>
      </c>
      <c r="G71" s="134">
        <v>42892</v>
      </c>
      <c r="H71" s="19">
        <v>42891</v>
      </c>
      <c r="I71" s="6"/>
      <c r="J71" s="92">
        <v>1</v>
      </c>
      <c r="K71" s="153">
        <v>0</v>
      </c>
      <c r="L71" s="157">
        <f t="shared" si="4"/>
        <v>301.493243243243</v>
      </c>
      <c r="M71" s="161">
        <f t="shared" si="5"/>
        <v>0.301493243243243</v>
      </c>
      <c r="N71" s="193">
        <v>2</v>
      </c>
      <c r="O71" s="37"/>
      <c r="P71" s="190">
        <v>72</v>
      </c>
      <c r="Q71" s="187">
        <v>93.243243243243001</v>
      </c>
      <c r="R71" s="187">
        <v>0.27</v>
      </c>
      <c r="S71" s="187">
        <v>3.9800000000000004</v>
      </c>
      <c r="T71" s="187">
        <v>72</v>
      </c>
      <c r="U71" s="187">
        <v>60</v>
      </c>
      <c r="V71" s="6"/>
      <c r="W71" s="6"/>
      <c r="X71" s="6"/>
      <c r="Y71" s="22"/>
    </row>
    <row r="72" spans="1:25">
      <c r="A72" s="36">
        <v>73</v>
      </c>
      <c r="B72" s="30" t="s">
        <v>23</v>
      </c>
      <c r="C72" s="6">
        <v>13</v>
      </c>
      <c r="D72" s="30">
        <v>6</v>
      </c>
      <c r="E72" s="30" t="s">
        <v>48</v>
      </c>
      <c r="F72" s="30" t="s">
        <v>144</v>
      </c>
      <c r="G72" s="134">
        <v>42892</v>
      </c>
      <c r="H72" s="19">
        <v>42891</v>
      </c>
      <c r="I72" s="6"/>
      <c r="J72" s="92">
        <v>1</v>
      </c>
      <c r="K72" s="153">
        <v>0</v>
      </c>
      <c r="L72" s="157">
        <f t="shared" si="4"/>
        <v>702.18189189189252</v>
      </c>
      <c r="M72" s="161">
        <f t="shared" si="5"/>
        <v>0.70218189189189251</v>
      </c>
      <c r="N72" s="193">
        <v>2</v>
      </c>
      <c r="O72" s="37"/>
      <c r="P72" s="190">
        <v>80</v>
      </c>
      <c r="Q72" s="187">
        <v>141.8918918918925</v>
      </c>
      <c r="R72" s="187">
        <v>30.69</v>
      </c>
      <c r="S72" s="187">
        <v>0</v>
      </c>
      <c r="T72" s="187">
        <v>59.600000000000009</v>
      </c>
      <c r="U72" s="187">
        <v>100</v>
      </c>
      <c r="V72" s="6">
        <v>190</v>
      </c>
      <c r="W72" s="6"/>
      <c r="X72" s="6">
        <v>100</v>
      </c>
      <c r="Y72" s="22"/>
    </row>
    <row r="73" spans="1:25">
      <c r="A73" s="36">
        <v>74</v>
      </c>
      <c r="B73" s="30" t="s">
        <v>23</v>
      </c>
      <c r="C73" s="6">
        <v>14</v>
      </c>
      <c r="D73" s="30">
        <v>5</v>
      </c>
      <c r="E73" s="30" t="s">
        <v>11</v>
      </c>
      <c r="F73" s="30" t="s">
        <v>145</v>
      </c>
      <c r="G73" s="134">
        <v>42892</v>
      </c>
      <c r="H73" s="19">
        <v>42891</v>
      </c>
      <c r="I73" s="6"/>
      <c r="J73" s="92">
        <v>1</v>
      </c>
      <c r="K73" s="153">
        <v>0</v>
      </c>
      <c r="L73" s="157">
        <f t="shared" si="4"/>
        <v>940.16</v>
      </c>
      <c r="M73" s="161">
        <f t="shared" si="5"/>
        <v>0.94016</v>
      </c>
      <c r="N73" s="193">
        <v>4</v>
      </c>
      <c r="O73" s="37"/>
      <c r="P73" s="190">
        <v>92</v>
      </c>
      <c r="Q73" s="187">
        <v>150</v>
      </c>
      <c r="R73" s="187">
        <v>108</v>
      </c>
      <c r="S73" s="187">
        <v>144</v>
      </c>
      <c r="T73" s="187">
        <v>96.16</v>
      </c>
      <c r="U73" s="187">
        <v>160</v>
      </c>
      <c r="V73" s="6">
        <v>190</v>
      </c>
      <c r="W73" s="6"/>
      <c r="X73" s="6"/>
      <c r="Y73" s="22"/>
    </row>
    <row r="74" spans="1:25">
      <c r="A74" s="36">
        <v>75</v>
      </c>
      <c r="B74" s="30" t="s">
        <v>23</v>
      </c>
      <c r="C74" s="30">
        <v>15</v>
      </c>
      <c r="D74" s="30">
        <v>5</v>
      </c>
      <c r="E74" s="30" t="s">
        <v>128</v>
      </c>
      <c r="F74" s="30" t="s">
        <v>55</v>
      </c>
      <c r="G74" s="134">
        <v>42892</v>
      </c>
      <c r="H74" s="19">
        <v>42891</v>
      </c>
      <c r="I74" s="6"/>
      <c r="J74" s="92">
        <v>1</v>
      </c>
      <c r="K74" s="153">
        <v>0</v>
      </c>
      <c r="L74" s="157">
        <f t="shared" si="4"/>
        <v>378.3048648648645</v>
      </c>
      <c r="M74" s="161">
        <f t="shared" si="5"/>
        <v>0.37830486486486448</v>
      </c>
      <c r="N74" s="193">
        <v>2</v>
      </c>
      <c r="O74" s="37"/>
      <c r="P74" s="190">
        <v>64</v>
      </c>
      <c r="Q74" s="187">
        <v>64.864864864864501</v>
      </c>
      <c r="R74" s="187">
        <v>0</v>
      </c>
      <c r="S74" s="187">
        <v>0</v>
      </c>
      <c r="T74" s="187">
        <v>89.44</v>
      </c>
      <c r="U74" s="187">
        <v>160</v>
      </c>
      <c r="V74" s="6"/>
      <c r="W74" s="6"/>
      <c r="X74" s="6"/>
      <c r="Y74" s="22"/>
    </row>
    <row r="75" spans="1:25">
      <c r="A75" s="36">
        <v>76</v>
      </c>
      <c r="B75" s="30" t="s">
        <v>23</v>
      </c>
      <c r="C75" s="6">
        <v>16</v>
      </c>
      <c r="D75" s="30">
        <v>6</v>
      </c>
      <c r="E75" s="30" t="s">
        <v>177</v>
      </c>
      <c r="F75" s="30" t="s">
        <v>146</v>
      </c>
      <c r="G75" s="134">
        <v>42892</v>
      </c>
      <c r="H75" s="19">
        <v>42891</v>
      </c>
      <c r="I75" s="6"/>
      <c r="J75" s="92">
        <v>1</v>
      </c>
      <c r="K75" s="153">
        <v>0</v>
      </c>
      <c r="L75" s="157">
        <f t="shared" si="4"/>
        <v>504.83783783783798</v>
      </c>
      <c r="M75" s="161">
        <f t="shared" si="5"/>
        <v>0.50483783783783798</v>
      </c>
      <c r="N75" s="193">
        <v>3</v>
      </c>
      <c r="O75" s="37"/>
      <c r="P75" s="190">
        <v>76</v>
      </c>
      <c r="Q75" s="187">
        <v>137.83783783783798</v>
      </c>
      <c r="R75" s="187">
        <v>81</v>
      </c>
      <c r="S75" s="187">
        <v>136</v>
      </c>
      <c r="T75" s="187">
        <v>74.000000000000014</v>
      </c>
      <c r="U75" s="187">
        <v>0</v>
      </c>
      <c r="V75" s="6"/>
      <c r="W75" s="6"/>
      <c r="X75" s="6"/>
      <c r="Y75" s="22"/>
    </row>
    <row r="76" spans="1:25">
      <c r="A76" s="36">
        <v>77</v>
      </c>
      <c r="B76" s="30" t="s">
        <v>23</v>
      </c>
      <c r="C76" s="6">
        <v>17</v>
      </c>
      <c r="D76" s="30">
        <v>5</v>
      </c>
      <c r="E76" s="30" t="s">
        <v>79</v>
      </c>
      <c r="F76" s="30" t="s">
        <v>59</v>
      </c>
      <c r="G76" s="134">
        <v>42892</v>
      </c>
      <c r="H76" s="19">
        <v>42891</v>
      </c>
      <c r="I76" s="6"/>
      <c r="J76" s="92">
        <v>1</v>
      </c>
      <c r="K76" s="153">
        <v>0</v>
      </c>
      <c r="L76" s="157">
        <f t="shared" si="4"/>
        <v>177.29729729729752</v>
      </c>
      <c r="M76" s="161">
        <f t="shared" si="5"/>
        <v>0.17729729729729751</v>
      </c>
      <c r="N76" s="193">
        <v>1</v>
      </c>
      <c r="O76" s="123"/>
      <c r="P76" s="190">
        <v>0</v>
      </c>
      <c r="Q76" s="187">
        <v>97.297297297297504</v>
      </c>
      <c r="R76" s="187">
        <v>0</v>
      </c>
      <c r="S76" s="187">
        <v>0</v>
      </c>
      <c r="T76" s="187">
        <v>80</v>
      </c>
      <c r="U76" s="187">
        <v>0</v>
      </c>
      <c r="V76" s="6"/>
      <c r="W76" s="6"/>
      <c r="X76" s="6"/>
      <c r="Y76" s="22"/>
    </row>
    <row r="77" spans="1:25" ht="15" thickBot="1">
      <c r="A77" s="38">
        <v>78</v>
      </c>
      <c r="B77" s="31" t="s">
        <v>23</v>
      </c>
      <c r="C77" s="31">
        <v>18</v>
      </c>
      <c r="D77" s="31">
        <v>6</v>
      </c>
      <c r="E77" s="31" t="s">
        <v>191</v>
      </c>
      <c r="F77" s="31" t="s">
        <v>147</v>
      </c>
      <c r="G77" s="129">
        <v>42892</v>
      </c>
      <c r="H77" s="25">
        <v>42891</v>
      </c>
      <c r="I77" s="24"/>
      <c r="J77" s="93">
        <v>1</v>
      </c>
      <c r="K77" s="154">
        <v>0</v>
      </c>
      <c r="L77" s="158">
        <f t="shared" si="4"/>
        <v>249.4270270270265</v>
      </c>
      <c r="M77" s="162">
        <f t="shared" si="5"/>
        <v>0.24942702702702649</v>
      </c>
      <c r="N77" s="194">
        <v>1</v>
      </c>
      <c r="O77" s="99"/>
      <c r="P77" s="191">
        <v>44</v>
      </c>
      <c r="Q77" s="188">
        <v>77.027027027026506</v>
      </c>
      <c r="R77" s="188">
        <v>0</v>
      </c>
      <c r="S77" s="188">
        <v>0</v>
      </c>
      <c r="T77" s="188">
        <v>68.400000000000006</v>
      </c>
      <c r="U77" s="188">
        <v>60</v>
      </c>
      <c r="V77" s="24"/>
      <c r="W77" s="24"/>
      <c r="X77" s="24"/>
      <c r="Y77" s="28"/>
    </row>
    <row r="78" spans="1:25" hidden="1">
      <c r="A78" s="56">
        <v>80</v>
      </c>
      <c r="B78" s="57" t="s">
        <v>24</v>
      </c>
      <c r="C78" s="43">
        <v>1</v>
      </c>
      <c r="D78" s="57">
        <v>8</v>
      </c>
      <c r="E78" s="57" t="s">
        <v>148</v>
      </c>
      <c r="F78" s="57" t="s">
        <v>13</v>
      </c>
      <c r="G78" s="137">
        <v>42892</v>
      </c>
      <c r="H78" s="44">
        <v>42891</v>
      </c>
      <c r="I78" s="43"/>
      <c r="J78" s="136">
        <v>1</v>
      </c>
      <c r="K78" s="155">
        <v>0</v>
      </c>
      <c r="L78" s="159">
        <f t="shared" si="4"/>
        <v>398.76108108108099</v>
      </c>
      <c r="M78" s="163">
        <f t="shared" si="5"/>
        <v>0.39876108108108099</v>
      </c>
      <c r="N78" s="200">
        <v>2</v>
      </c>
      <c r="O78" s="124"/>
      <c r="P78" s="201">
        <v>50.4</v>
      </c>
      <c r="Q78" s="202">
        <v>81.08108108108101</v>
      </c>
      <c r="R78" s="202">
        <v>104.88</v>
      </c>
      <c r="S78" s="202">
        <v>96</v>
      </c>
      <c r="T78" s="202">
        <v>66.400000000000006</v>
      </c>
      <c r="U78" s="202">
        <v>0</v>
      </c>
      <c r="V78" s="43"/>
      <c r="W78" s="43"/>
      <c r="X78" s="43"/>
      <c r="Y78" s="46"/>
    </row>
    <row r="79" spans="1:25" hidden="1">
      <c r="A79" s="36">
        <v>81</v>
      </c>
      <c r="B79" s="30" t="s">
        <v>24</v>
      </c>
      <c r="C79" s="30">
        <v>2</v>
      </c>
      <c r="D79" s="30">
        <v>8</v>
      </c>
      <c r="E79" s="30" t="s">
        <v>79</v>
      </c>
      <c r="F79" s="30" t="s">
        <v>51</v>
      </c>
      <c r="G79" s="134">
        <v>42892</v>
      </c>
      <c r="H79" s="19">
        <v>42891</v>
      </c>
      <c r="I79" s="6"/>
      <c r="J79" s="92">
        <v>1</v>
      </c>
      <c r="K79" s="153">
        <v>0</v>
      </c>
      <c r="L79" s="157">
        <f t="shared" si="4"/>
        <v>942.13621621621587</v>
      </c>
      <c r="M79" s="161">
        <f t="shared" si="5"/>
        <v>0.9421362162162159</v>
      </c>
      <c r="N79" s="193">
        <v>4</v>
      </c>
      <c r="O79" s="123"/>
      <c r="P79" s="190">
        <v>96</v>
      </c>
      <c r="Q79" s="187">
        <v>136.2162162162158</v>
      </c>
      <c r="R79" s="187">
        <v>102.6</v>
      </c>
      <c r="S79" s="187">
        <v>166.32000000000002</v>
      </c>
      <c r="T79" s="187">
        <v>80</v>
      </c>
      <c r="U79" s="187">
        <v>175</v>
      </c>
      <c r="V79" s="6"/>
      <c r="W79" s="6"/>
      <c r="X79" s="6">
        <v>186</v>
      </c>
      <c r="Y79" s="22"/>
    </row>
    <row r="80" spans="1:25" hidden="1">
      <c r="A80" s="36">
        <v>82</v>
      </c>
      <c r="B80" s="30" t="s">
        <v>24</v>
      </c>
      <c r="C80" s="6">
        <v>3</v>
      </c>
      <c r="D80" s="30">
        <v>7</v>
      </c>
      <c r="E80" s="30" t="s">
        <v>128</v>
      </c>
      <c r="F80" s="30" t="s">
        <v>149</v>
      </c>
      <c r="G80" s="134">
        <v>42892</v>
      </c>
      <c r="H80" s="19">
        <v>42891</v>
      </c>
      <c r="I80" s="6"/>
      <c r="J80" s="92">
        <v>1</v>
      </c>
      <c r="K80" s="153">
        <v>0</v>
      </c>
      <c r="L80" s="157">
        <f t="shared" si="4"/>
        <v>434.681081081081</v>
      </c>
      <c r="M80" s="161">
        <f t="shared" si="5"/>
        <v>0.434681081081081</v>
      </c>
      <c r="N80" s="193">
        <v>2</v>
      </c>
      <c r="O80" s="123"/>
      <c r="P80" s="190">
        <v>48</v>
      </c>
      <c r="Q80" s="187">
        <v>81.08108108108101</v>
      </c>
      <c r="R80" s="187">
        <v>30</v>
      </c>
      <c r="S80" s="187">
        <v>76</v>
      </c>
      <c r="T80" s="187">
        <v>69.600000000000009</v>
      </c>
      <c r="U80" s="187">
        <v>130</v>
      </c>
      <c r="V80" s="6"/>
      <c r="W80" s="6"/>
      <c r="X80" s="6"/>
      <c r="Y80" s="22"/>
    </row>
    <row r="81" spans="1:25" hidden="1">
      <c r="A81" s="36">
        <v>84</v>
      </c>
      <c r="B81" s="30" t="s">
        <v>24</v>
      </c>
      <c r="C81" s="30">
        <v>5</v>
      </c>
      <c r="D81" s="30">
        <v>7</v>
      </c>
      <c r="E81" s="30" t="s">
        <v>151</v>
      </c>
      <c r="F81" s="30" t="s">
        <v>152</v>
      </c>
      <c r="G81" s="134">
        <v>42892</v>
      </c>
      <c r="H81" s="19">
        <v>42891</v>
      </c>
      <c r="I81" s="6"/>
      <c r="J81" s="92">
        <v>1</v>
      </c>
      <c r="K81" s="153">
        <v>0</v>
      </c>
      <c r="L81" s="157">
        <f t="shared" si="4"/>
        <v>369.02702702702652</v>
      </c>
      <c r="M81" s="161">
        <f t="shared" si="5"/>
        <v>0.3690270270270265</v>
      </c>
      <c r="N81" s="193">
        <v>2</v>
      </c>
      <c r="O81" s="37"/>
      <c r="P81" s="190">
        <v>0</v>
      </c>
      <c r="Q81" s="187">
        <v>77.027027027026506</v>
      </c>
      <c r="R81" s="187">
        <v>0</v>
      </c>
      <c r="S81" s="187">
        <v>120</v>
      </c>
      <c r="T81" s="187">
        <v>72</v>
      </c>
      <c r="U81" s="187">
        <v>0</v>
      </c>
      <c r="V81" s="6"/>
      <c r="W81" s="6"/>
      <c r="X81" s="6">
        <v>100</v>
      </c>
      <c r="Y81" s="22"/>
    </row>
    <row r="82" spans="1:25" hidden="1">
      <c r="A82" s="36">
        <v>85</v>
      </c>
      <c r="B82" s="30" t="s">
        <v>24</v>
      </c>
      <c r="C82" s="6">
        <v>6</v>
      </c>
      <c r="D82" s="30">
        <v>8</v>
      </c>
      <c r="E82" s="6" t="s">
        <v>176</v>
      </c>
      <c r="F82" s="6" t="s">
        <v>153</v>
      </c>
      <c r="G82" s="134">
        <v>42892</v>
      </c>
      <c r="H82" s="19">
        <v>42891</v>
      </c>
      <c r="I82" s="6"/>
      <c r="J82" s="92">
        <v>1</v>
      </c>
      <c r="K82" s="153">
        <v>0</v>
      </c>
      <c r="L82" s="157">
        <f t="shared" si="4"/>
        <v>401.729729729729</v>
      </c>
      <c r="M82" s="161">
        <f t="shared" si="5"/>
        <v>0.40172972972972898</v>
      </c>
      <c r="N82" s="193">
        <v>2</v>
      </c>
      <c r="O82" s="37"/>
      <c r="P82" s="190">
        <v>96</v>
      </c>
      <c r="Q82" s="187">
        <v>129.729729729729</v>
      </c>
      <c r="R82" s="187">
        <v>76.440000000000012</v>
      </c>
      <c r="S82" s="187">
        <v>15.559999999999999</v>
      </c>
      <c r="T82" s="187">
        <v>84</v>
      </c>
      <c r="U82" s="187">
        <v>0</v>
      </c>
      <c r="V82" s="6"/>
      <c r="W82" s="6"/>
      <c r="X82" s="6"/>
      <c r="Y82" s="22"/>
    </row>
    <row r="83" spans="1:25" hidden="1">
      <c r="A83" s="36">
        <v>86</v>
      </c>
      <c r="B83" s="30" t="s">
        <v>24</v>
      </c>
      <c r="C83" s="6">
        <v>7</v>
      </c>
      <c r="D83" s="30">
        <v>7</v>
      </c>
      <c r="E83" s="30" t="s">
        <v>154</v>
      </c>
      <c r="F83" s="30" t="s">
        <v>155</v>
      </c>
      <c r="G83" s="134">
        <v>42892</v>
      </c>
      <c r="H83" s="19">
        <v>42891</v>
      </c>
      <c r="I83" s="6"/>
      <c r="J83" s="92">
        <v>1</v>
      </c>
      <c r="K83" s="153">
        <v>0</v>
      </c>
      <c r="L83" s="157">
        <f t="shared" si="4"/>
        <v>538.33513513513549</v>
      </c>
      <c r="M83" s="161">
        <f t="shared" si="5"/>
        <v>0.53833513513513553</v>
      </c>
      <c r="N83" s="193">
        <v>2</v>
      </c>
      <c r="O83" s="37"/>
      <c r="P83" s="190">
        <v>68</v>
      </c>
      <c r="Q83" s="187">
        <v>85.135135135135499</v>
      </c>
      <c r="R83" s="187">
        <v>0</v>
      </c>
      <c r="S83" s="187">
        <v>100.80000000000003</v>
      </c>
      <c r="T83" s="187">
        <v>14.400000000000002</v>
      </c>
      <c r="U83" s="187">
        <v>110.00000000000001</v>
      </c>
      <c r="V83" s="6">
        <v>160</v>
      </c>
      <c r="W83" s="6"/>
      <c r="X83" s="6"/>
      <c r="Y83" s="22"/>
    </row>
    <row r="84" spans="1:25" hidden="1">
      <c r="A84" s="36">
        <v>87</v>
      </c>
      <c r="B84" s="30" t="s">
        <v>24</v>
      </c>
      <c r="C84" s="30">
        <v>8</v>
      </c>
      <c r="D84" s="30">
        <v>8</v>
      </c>
      <c r="E84" s="30" t="s">
        <v>65</v>
      </c>
      <c r="F84" s="30" t="s">
        <v>39</v>
      </c>
      <c r="G84" s="134">
        <v>42892</v>
      </c>
      <c r="H84" s="19">
        <v>42891</v>
      </c>
      <c r="I84" s="6"/>
      <c r="J84" s="92">
        <v>1</v>
      </c>
      <c r="K84" s="153">
        <v>0</v>
      </c>
      <c r="L84" s="157">
        <f t="shared" si="4"/>
        <v>702.62162162162144</v>
      </c>
      <c r="M84" s="161">
        <f t="shared" si="5"/>
        <v>0.70262162162162145</v>
      </c>
      <c r="N84" s="193">
        <v>4</v>
      </c>
      <c r="O84" s="37"/>
      <c r="P84" s="190">
        <v>100</v>
      </c>
      <c r="Q84" s="187">
        <v>121.62162162162149</v>
      </c>
      <c r="R84" s="187">
        <v>81</v>
      </c>
      <c r="S84" s="187">
        <v>4</v>
      </c>
      <c r="T84" s="187">
        <v>100</v>
      </c>
      <c r="U84" s="187">
        <v>0</v>
      </c>
      <c r="V84" s="6"/>
      <c r="W84" s="6"/>
      <c r="X84" s="6">
        <v>296</v>
      </c>
      <c r="Y84" s="22"/>
    </row>
    <row r="85" spans="1:25" hidden="1">
      <c r="A85" s="36">
        <v>88</v>
      </c>
      <c r="B85" s="30" t="s">
        <v>24</v>
      </c>
      <c r="C85" s="6">
        <v>9</v>
      </c>
      <c r="D85" s="30">
        <v>8</v>
      </c>
      <c r="E85" s="30" t="s">
        <v>0</v>
      </c>
      <c r="F85" s="30" t="s">
        <v>119</v>
      </c>
      <c r="G85" s="134">
        <v>42892</v>
      </c>
      <c r="H85" s="19">
        <v>42891</v>
      </c>
      <c r="I85" s="6"/>
      <c r="J85" s="92">
        <v>1</v>
      </c>
      <c r="K85" s="153">
        <v>0</v>
      </c>
      <c r="L85" s="157">
        <f t="shared" si="4"/>
        <v>731.32432432432358</v>
      </c>
      <c r="M85" s="161">
        <f t="shared" si="5"/>
        <v>0.73132432432432359</v>
      </c>
      <c r="N85" s="193">
        <v>4</v>
      </c>
      <c r="O85" s="37"/>
      <c r="P85" s="190">
        <v>76</v>
      </c>
      <c r="Q85" s="187">
        <v>124.32432432432361</v>
      </c>
      <c r="R85" s="187">
        <v>111</v>
      </c>
      <c r="S85" s="187">
        <v>120</v>
      </c>
      <c r="T85" s="187">
        <v>100</v>
      </c>
      <c r="U85" s="187">
        <v>0</v>
      </c>
      <c r="V85" s="6"/>
      <c r="W85" s="6"/>
      <c r="X85" s="6"/>
      <c r="Y85" s="22">
        <v>200</v>
      </c>
    </row>
    <row r="86" spans="1:25" hidden="1">
      <c r="A86" s="36">
        <v>89</v>
      </c>
      <c r="B86" s="30" t="s">
        <v>24</v>
      </c>
      <c r="C86" s="6">
        <v>10</v>
      </c>
      <c r="D86" s="30">
        <v>7</v>
      </c>
      <c r="E86" s="30" t="s">
        <v>82</v>
      </c>
      <c r="F86" s="30" t="s">
        <v>156</v>
      </c>
      <c r="G86" s="134">
        <v>42892</v>
      </c>
      <c r="H86" s="19">
        <v>42891</v>
      </c>
      <c r="I86" s="6"/>
      <c r="J86" s="92">
        <v>1</v>
      </c>
      <c r="K86" s="153">
        <v>0</v>
      </c>
      <c r="L86" s="157">
        <f t="shared" si="4"/>
        <v>186.72432432432402</v>
      </c>
      <c r="M86" s="161">
        <f t="shared" si="5"/>
        <v>0.18672432432432401</v>
      </c>
      <c r="N86" s="193">
        <v>1</v>
      </c>
      <c r="O86" s="37"/>
      <c r="P86" s="190">
        <v>48</v>
      </c>
      <c r="Q86" s="187">
        <v>24.324324324323999</v>
      </c>
      <c r="R86" s="187">
        <v>36</v>
      </c>
      <c r="S86" s="187">
        <v>16</v>
      </c>
      <c r="T86" s="187">
        <v>62.400000000000013</v>
      </c>
      <c r="U86" s="187">
        <v>0</v>
      </c>
      <c r="V86" s="6"/>
      <c r="W86" s="6"/>
      <c r="X86" s="6"/>
      <c r="Y86" s="22"/>
    </row>
    <row r="87" spans="1:25" hidden="1">
      <c r="A87" s="36">
        <v>90</v>
      </c>
      <c r="B87" s="30" t="s">
        <v>24</v>
      </c>
      <c r="C87" s="30">
        <v>11</v>
      </c>
      <c r="D87" s="30">
        <v>8</v>
      </c>
      <c r="E87" s="30" t="s">
        <v>81</v>
      </c>
      <c r="F87" s="30" t="s">
        <v>157</v>
      </c>
      <c r="G87" s="134">
        <v>42892</v>
      </c>
      <c r="H87" s="19">
        <v>42891</v>
      </c>
      <c r="I87" s="6"/>
      <c r="J87" s="92">
        <v>1</v>
      </c>
      <c r="K87" s="153">
        <v>0</v>
      </c>
      <c r="L87" s="157">
        <f t="shared" si="4"/>
        <v>870.9</v>
      </c>
      <c r="M87" s="161">
        <f t="shared" si="5"/>
        <v>0.87090000000000001</v>
      </c>
      <c r="N87" s="193">
        <v>2</v>
      </c>
      <c r="O87" s="37"/>
      <c r="P87" s="190">
        <v>76</v>
      </c>
      <c r="Q87" s="187">
        <v>0</v>
      </c>
      <c r="R87" s="187">
        <v>93.9</v>
      </c>
      <c r="S87" s="187">
        <v>145</v>
      </c>
      <c r="T87" s="187">
        <v>100</v>
      </c>
      <c r="U87" s="187">
        <v>180</v>
      </c>
      <c r="V87" s="6">
        <v>180</v>
      </c>
      <c r="W87" s="6"/>
      <c r="X87" s="6">
        <v>96</v>
      </c>
      <c r="Y87" s="22"/>
    </row>
    <row r="88" spans="1:25" hidden="1">
      <c r="A88" s="36">
        <v>91</v>
      </c>
      <c r="B88" s="30" t="s">
        <v>24</v>
      </c>
      <c r="C88" s="6">
        <v>12</v>
      </c>
      <c r="D88" s="30">
        <v>7</v>
      </c>
      <c r="E88" s="30" t="s">
        <v>14</v>
      </c>
      <c r="F88" s="30" t="s">
        <v>158</v>
      </c>
      <c r="G88" s="134">
        <v>42892</v>
      </c>
      <c r="H88" s="19">
        <v>42891</v>
      </c>
      <c r="I88" s="19"/>
      <c r="J88" s="92">
        <v>1</v>
      </c>
      <c r="K88" s="153">
        <v>0</v>
      </c>
      <c r="L88" s="157">
        <f t="shared" si="4"/>
        <v>554.15891891891897</v>
      </c>
      <c r="M88" s="161">
        <f t="shared" si="5"/>
        <v>0.554158918918919</v>
      </c>
      <c r="N88" s="193">
        <v>3</v>
      </c>
      <c r="O88" s="37"/>
      <c r="P88" s="190">
        <v>49.6</v>
      </c>
      <c r="Q88" s="187">
        <v>68.91891891891899</v>
      </c>
      <c r="R88" s="187">
        <v>83.999999999999986</v>
      </c>
      <c r="S88" s="187">
        <v>163.64000000000001</v>
      </c>
      <c r="T88" s="187">
        <v>68</v>
      </c>
      <c r="U88" s="187">
        <v>120</v>
      </c>
      <c r="V88" s="204"/>
      <c r="W88" s="6"/>
      <c r="X88" s="6"/>
      <c r="Y88" s="22"/>
    </row>
    <row r="89" spans="1:25" hidden="1">
      <c r="A89" s="36">
        <v>92</v>
      </c>
      <c r="B89" s="30" t="s">
        <v>24</v>
      </c>
      <c r="C89" s="30">
        <v>13</v>
      </c>
      <c r="D89" s="30">
        <v>8</v>
      </c>
      <c r="E89" s="30" t="s">
        <v>15</v>
      </c>
      <c r="F89" s="30" t="s">
        <v>160</v>
      </c>
      <c r="G89" s="134">
        <v>42892</v>
      </c>
      <c r="H89" s="19">
        <v>42891</v>
      </c>
      <c r="I89" s="6"/>
      <c r="J89" s="92">
        <v>1</v>
      </c>
      <c r="K89" s="153">
        <v>0</v>
      </c>
      <c r="L89" s="157">
        <f t="shared" si="4"/>
        <v>499.45945945945954</v>
      </c>
      <c r="M89" s="161">
        <f t="shared" si="5"/>
        <v>0.49945945945945952</v>
      </c>
      <c r="N89" s="193">
        <v>3</v>
      </c>
      <c r="O89" s="37"/>
      <c r="P89" s="190">
        <v>96</v>
      </c>
      <c r="Q89" s="187">
        <v>109.45945945945952</v>
      </c>
      <c r="R89" s="187">
        <v>66</v>
      </c>
      <c r="S89" s="187">
        <v>128</v>
      </c>
      <c r="T89" s="187">
        <v>100</v>
      </c>
      <c r="U89" s="187">
        <v>0</v>
      </c>
      <c r="V89" s="6"/>
      <c r="W89" s="6"/>
      <c r="X89" s="6"/>
      <c r="Y89" s="22"/>
    </row>
    <row r="90" spans="1:25" hidden="1">
      <c r="A90" s="36">
        <v>93</v>
      </c>
      <c r="B90" s="30" t="s">
        <v>24</v>
      </c>
      <c r="C90" s="6">
        <v>14</v>
      </c>
      <c r="D90" s="30">
        <v>7</v>
      </c>
      <c r="E90" s="30" t="s">
        <v>14</v>
      </c>
      <c r="F90" s="30" t="s">
        <v>161</v>
      </c>
      <c r="G90" s="134">
        <v>42892</v>
      </c>
      <c r="H90" s="19">
        <v>42891</v>
      </c>
      <c r="I90" s="6"/>
      <c r="J90" s="92">
        <v>1</v>
      </c>
      <c r="K90" s="153">
        <v>0</v>
      </c>
      <c r="L90" s="157">
        <f t="shared" si="4"/>
        <v>791.15675675675698</v>
      </c>
      <c r="M90" s="161">
        <f t="shared" si="5"/>
        <v>0.79115675675675701</v>
      </c>
      <c r="N90" s="193" t="s">
        <v>311</v>
      </c>
      <c r="O90" s="123"/>
      <c r="P90" s="190">
        <v>96</v>
      </c>
      <c r="Q90" s="187">
        <v>56.756756756756999</v>
      </c>
      <c r="R90" s="187">
        <v>126</v>
      </c>
      <c r="S90" s="187">
        <v>132</v>
      </c>
      <c r="T90" s="187">
        <v>90.4</v>
      </c>
      <c r="U90" s="187">
        <v>130</v>
      </c>
      <c r="V90" s="6">
        <v>160</v>
      </c>
      <c r="W90" s="6"/>
      <c r="X90" s="6"/>
      <c r="Y90" s="22"/>
    </row>
    <row r="91" spans="1:25" hidden="1">
      <c r="A91" s="36">
        <v>94</v>
      </c>
      <c r="B91" s="30" t="s">
        <v>24</v>
      </c>
      <c r="C91" s="6">
        <v>15</v>
      </c>
      <c r="D91" s="30">
        <v>7</v>
      </c>
      <c r="E91" s="30" t="s">
        <v>9</v>
      </c>
      <c r="F91" s="30" t="s">
        <v>122</v>
      </c>
      <c r="G91" s="134">
        <v>42892</v>
      </c>
      <c r="H91" s="19">
        <v>42891</v>
      </c>
      <c r="I91" s="6"/>
      <c r="J91" s="92">
        <v>1</v>
      </c>
      <c r="K91" s="153">
        <v>0</v>
      </c>
      <c r="L91" s="157">
        <f t="shared" si="4"/>
        <v>197.56756756756701</v>
      </c>
      <c r="M91" s="161">
        <f t="shared" si="5"/>
        <v>0.19756756756756702</v>
      </c>
      <c r="N91" s="193">
        <v>4</v>
      </c>
      <c r="O91" s="37"/>
      <c r="P91" s="190">
        <v>80</v>
      </c>
      <c r="Q91" s="187">
        <v>117.56756756756701</v>
      </c>
      <c r="R91" s="30"/>
      <c r="S91" s="187">
        <v>0</v>
      </c>
      <c r="T91" s="187">
        <v>0</v>
      </c>
      <c r="U91" s="187">
        <v>0</v>
      </c>
      <c r="V91" s="6"/>
      <c r="W91" s="6"/>
      <c r="X91" s="6"/>
      <c r="Y91" s="22"/>
    </row>
    <row r="92" spans="1:25" hidden="1">
      <c r="A92" s="36">
        <v>95</v>
      </c>
      <c r="B92" s="30" t="s">
        <v>24</v>
      </c>
      <c r="C92" s="30">
        <v>16</v>
      </c>
      <c r="D92" s="30">
        <v>8</v>
      </c>
      <c r="E92" s="30" t="s">
        <v>18</v>
      </c>
      <c r="F92" s="30" t="s">
        <v>164</v>
      </c>
      <c r="G92" s="134">
        <v>42892</v>
      </c>
      <c r="H92" s="19">
        <v>42891</v>
      </c>
      <c r="I92" s="6"/>
      <c r="J92" s="92">
        <v>1</v>
      </c>
      <c r="K92" s="153">
        <v>0</v>
      </c>
      <c r="L92" s="157">
        <f t="shared" si="4"/>
        <v>473.59459459459521</v>
      </c>
      <c r="M92" s="161">
        <f t="shared" si="5"/>
        <v>0.47359459459459519</v>
      </c>
      <c r="N92" s="193">
        <v>2</v>
      </c>
      <c r="O92" s="37"/>
      <c r="P92" s="190">
        <v>84</v>
      </c>
      <c r="Q92" s="187">
        <v>94.594594594595193</v>
      </c>
      <c r="R92" s="187">
        <v>99</v>
      </c>
      <c r="S92" s="187">
        <v>100</v>
      </c>
      <c r="T92" s="187">
        <v>96</v>
      </c>
      <c r="U92" s="187">
        <v>0</v>
      </c>
      <c r="V92" s="6"/>
      <c r="W92" s="6"/>
      <c r="X92" s="6"/>
      <c r="Y92" s="22"/>
    </row>
    <row r="93" spans="1:25" hidden="1">
      <c r="A93" s="36">
        <v>96</v>
      </c>
      <c r="B93" s="30" t="s">
        <v>24</v>
      </c>
      <c r="C93" s="6">
        <v>17</v>
      </c>
      <c r="D93" s="30">
        <v>8</v>
      </c>
      <c r="E93" s="30" t="s">
        <v>80</v>
      </c>
      <c r="F93" s="30" t="s">
        <v>165</v>
      </c>
      <c r="G93" s="134">
        <v>42892</v>
      </c>
      <c r="H93" s="19">
        <v>42891</v>
      </c>
      <c r="I93" s="19"/>
      <c r="J93" s="92">
        <v>1</v>
      </c>
      <c r="K93" s="153">
        <v>0</v>
      </c>
      <c r="L93" s="157">
        <f t="shared" si="4"/>
        <v>304.88</v>
      </c>
      <c r="M93" s="161">
        <f t="shared" si="5"/>
        <v>0.30487999999999998</v>
      </c>
      <c r="N93" s="193">
        <v>2</v>
      </c>
      <c r="O93" s="37"/>
      <c r="P93" s="190">
        <v>84</v>
      </c>
      <c r="Q93" s="187">
        <v>0</v>
      </c>
      <c r="R93" s="187">
        <v>68.88</v>
      </c>
      <c r="S93" s="187">
        <v>68</v>
      </c>
      <c r="T93" s="187">
        <v>84</v>
      </c>
      <c r="U93" s="187">
        <v>0</v>
      </c>
      <c r="V93" s="6"/>
      <c r="W93" s="6"/>
      <c r="X93" s="6"/>
      <c r="Y93" s="22"/>
    </row>
    <row r="94" spans="1:25" hidden="1">
      <c r="A94" s="36">
        <v>97</v>
      </c>
      <c r="B94" s="30" t="s">
        <v>24</v>
      </c>
      <c r="C94" s="30">
        <v>18</v>
      </c>
      <c r="D94" s="30">
        <v>7</v>
      </c>
      <c r="E94" s="30" t="s">
        <v>65</v>
      </c>
      <c r="F94" s="30" t="s">
        <v>61</v>
      </c>
      <c r="G94" s="134">
        <v>42892</v>
      </c>
      <c r="H94" s="19">
        <v>42891</v>
      </c>
      <c r="I94" s="19"/>
      <c r="J94" s="92">
        <v>1</v>
      </c>
      <c r="K94" s="153">
        <v>0</v>
      </c>
      <c r="L94" s="157">
        <f t="shared" si="4"/>
        <v>579.00540540540499</v>
      </c>
      <c r="M94" s="161">
        <f t="shared" si="5"/>
        <v>0.57900540540540502</v>
      </c>
      <c r="N94" s="193">
        <v>3</v>
      </c>
      <c r="O94" s="37"/>
      <c r="P94" s="190">
        <v>80</v>
      </c>
      <c r="Q94" s="187">
        <v>105.40540540540499</v>
      </c>
      <c r="R94" s="187">
        <v>0</v>
      </c>
      <c r="S94" s="187">
        <v>100</v>
      </c>
      <c r="T94" s="187">
        <v>77.600000000000009</v>
      </c>
      <c r="U94" s="187">
        <v>120</v>
      </c>
      <c r="V94" s="204"/>
      <c r="W94" s="6"/>
      <c r="X94" s="6">
        <v>96</v>
      </c>
      <c r="Y94" s="22"/>
    </row>
    <row r="95" spans="1:25" hidden="1">
      <c r="A95" s="36">
        <v>98</v>
      </c>
      <c r="B95" s="30" t="s">
        <v>24</v>
      </c>
      <c r="C95" s="6">
        <v>19</v>
      </c>
      <c r="D95" s="30">
        <v>7</v>
      </c>
      <c r="E95" s="30" t="s">
        <v>193</v>
      </c>
      <c r="F95" s="30" t="s">
        <v>166</v>
      </c>
      <c r="G95" s="134">
        <v>42892</v>
      </c>
      <c r="H95" s="19">
        <v>42891</v>
      </c>
      <c r="I95" s="6"/>
      <c r="J95" s="92">
        <v>1</v>
      </c>
      <c r="K95" s="153">
        <v>0</v>
      </c>
      <c r="L95" s="157">
        <f t="shared" si="4"/>
        <v>466.02702702702652</v>
      </c>
      <c r="M95" s="161">
        <f t="shared" si="5"/>
        <v>0.46602702702702653</v>
      </c>
      <c r="N95" s="193">
        <v>2</v>
      </c>
      <c r="O95" s="37"/>
      <c r="P95" s="190">
        <v>100</v>
      </c>
      <c r="Q95" s="187">
        <v>77.027027027026506</v>
      </c>
      <c r="R95" s="187">
        <v>81</v>
      </c>
      <c r="S95" s="187">
        <v>28.000000000000004</v>
      </c>
      <c r="T95" s="187">
        <v>80</v>
      </c>
      <c r="U95" s="195">
        <v>0</v>
      </c>
      <c r="V95" s="6"/>
      <c r="W95" s="6"/>
      <c r="X95" s="6">
        <v>100</v>
      </c>
      <c r="Y95" s="22"/>
    </row>
    <row r="96" spans="1:25" hidden="1">
      <c r="A96" s="36">
        <v>99</v>
      </c>
      <c r="B96" s="30" t="s">
        <v>24</v>
      </c>
      <c r="C96" s="30">
        <v>20</v>
      </c>
      <c r="D96" s="30">
        <v>8</v>
      </c>
      <c r="E96" s="30" t="s">
        <v>11</v>
      </c>
      <c r="F96" s="30" t="s">
        <v>56</v>
      </c>
      <c r="G96" s="134">
        <v>42892</v>
      </c>
      <c r="H96" s="19">
        <v>42891</v>
      </c>
      <c r="I96" s="19"/>
      <c r="J96" s="92">
        <v>1</v>
      </c>
      <c r="K96" s="153">
        <v>0</v>
      </c>
      <c r="L96" s="157">
        <f t="shared" si="4"/>
        <v>458.85945945945952</v>
      </c>
      <c r="M96" s="161">
        <f t="shared" si="5"/>
        <v>0.4588594594594595</v>
      </c>
      <c r="N96" s="193">
        <v>2</v>
      </c>
      <c r="O96" s="37"/>
      <c r="P96" s="190">
        <v>76</v>
      </c>
      <c r="Q96" s="187">
        <v>109.45945945945952</v>
      </c>
      <c r="R96" s="187">
        <v>75</v>
      </c>
      <c r="S96" s="187">
        <v>122.39999999999999</v>
      </c>
      <c r="T96" s="187">
        <v>76</v>
      </c>
      <c r="U96" s="187">
        <v>0</v>
      </c>
      <c r="V96" s="6"/>
      <c r="W96" s="6"/>
      <c r="X96" s="6"/>
      <c r="Y96" s="22"/>
    </row>
    <row r="97" spans="1:25" hidden="1">
      <c r="A97" s="36">
        <v>100</v>
      </c>
      <c r="B97" s="30" t="s">
        <v>24</v>
      </c>
      <c r="C97" s="6">
        <v>21</v>
      </c>
      <c r="D97" s="30">
        <v>8</v>
      </c>
      <c r="E97" s="30" t="s">
        <v>19</v>
      </c>
      <c r="F97" s="30" t="s">
        <v>167</v>
      </c>
      <c r="G97" s="134">
        <v>42892</v>
      </c>
      <c r="H97" s="19">
        <v>42891</v>
      </c>
      <c r="I97" s="19"/>
      <c r="J97" s="92">
        <v>1</v>
      </c>
      <c r="K97" s="153">
        <v>0</v>
      </c>
      <c r="L97" s="157">
        <f t="shared" si="4"/>
        <v>451.02702702702652</v>
      </c>
      <c r="M97" s="161">
        <f t="shared" si="5"/>
        <v>0.45102702702702652</v>
      </c>
      <c r="N97" s="193">
        <v>2</v>
      </c>
      <c r="O97" s="37"/>
      <c r="P97" s="190">
        <v>88</v>
      </c>
      <c r="Q97" s="187">
        <v>77.027027027026506</v>
      </c>
      <c r="R97" s="187">
        <v>81</v>
      </c>
      <c r="S97" s="187">
        <v>125</v>
      </c>
      <c r="T97" s="187">
        <v>80</v>
      </c>
      <c r="U97" s="187">
        <v>0</v>
      </c>
      <c r="V97" s="6"/>
      <c r="W97" s="6"/>
      <c r="X97" s="6"/>
      <c r="Y97" s="22"/>
    </row>
    <row r="98" spans="1:25" hidden="1">
      <c r="A98" s="36">
        <v>101</v>
      </c>
      <c r="B98" s="30" t="s">
        <v>24</v>
      </c>
      <c r="C98" s="30">
        <v>22</v>
      </c>
      <c r="D98" s="30">
        <v>7</v>
      </c>
      <c r="E98" s="30" t="s">
        <v>18</v>
      </c>
      <c r="F98" s="30" t="s">
        <v>168</v>
      </c>
      <c r="G98" s="134">
        <v>42892</v>
      </c>
      <c r="H98" s="19">
        <v>42891</v>
      </c>
      <c r="I98" s="6"/>
      <c r="J98" s="92">
        <v>1</v>
      </c>
      <c r="K98" s="153">
        <v>0</v>
      </c>
      <c r="L98" s="157">
        <f t="shared" si="4"/>
        <v>302</v>
      </c>
      <c r="M98" s="161">
        <f t="shared" si="5"/>
        <v>0.30199999999999999</v>
      </c>
      <c r="N98" s="193">
        <v>2</v>
      </c>
      <c r="O98" s="123"/>
      <c r="P98" s="190">
        <v>73.2</v>
      </c>
      <c r="Q98" s="187">
        <v>0</v>
      </c>
      <c r="R98" s="187">
        <v>30</v>
      </c>
      <c r="S98" s="187">
        <v>0</v>
      </c>
      <c r="T98" s="187">
        <v>68.800000000000011</v>
      </c>
      <c r="U98" s="187">
        <v>130</v>
      </c>
      <c r="V98" s="6"/>
      <c r="W98" s="6"/>
      <c r="X98" s="6"/>
      <c r="Y98" s="22"/>
    </row>
    <row r="99" spans="1:25" hidden="1">
      <c r="A99" s="36">
        <v>102</v>
      </c>
      <c r="B99" s="30" t="s">
        <v>24</v>
      </c>
      <c r="C99" s="6">
        <v>23</v>
      </c>
      <c r="D99" s="30">
        <v>8</v>
      </c>
      <c r="E99" s="30" t="s">
        <v>65</v>
      </c>
      <c r="F99" s="6" t="s">
        <v>169</v>
      </c>
      <c r="G99" s="134">
        <v>42892</v>
      </c>
      <c r="H99" s="19">
        <v>42891</v>
      </c>
      <c r="I99" s="6"/>
      <c r="J99" s="92">
        <v>1</v>
      </c>
      <c r="K99" s="153">
        <v>0</v>
      </c>
      <c r="L99" s="157">
        <f t="shared" ref="L99:L108" si="6">SUM(P99:Y99)</f>
        <v>554.90810810810797</v>
      </c>
      <c r="M99" s="161">
        <f t="shared" ref="M99:M108" si="7">L99/$L$2</f>
        <v>0.55490810810810798</v>
      </c>
      <c r="N99" s="193">
        <v>3</v>
      </c>
      <c r="O99" s="37"/>
      <c r="P99" s="190">
        <v>73.8</v>
      </c>
      <c r="Q99" s="187">
        <v>118.10810810810798</v>
      </c>
      <c r="R99" s="187">
        <v>111</v>
      </c>
      <c r="S99" s="187">
        <v>152</v>
      </c>
      <c r="T99" s="187">
        <v>100</v>
      </c>
      <c r="U99" s="187">
        <v>0</v>
      </c>
      <c r="V99" s="6"/>
      <c r="W99" s="6"/>
      <c r="X99" s="6"/>
      <c r="Y99" s="22"/>
    </row>
    <row r="100" spans="1:25" hidden="1">
      <c r="A100" s="36">
        <v>103</v>
      </c>
      <c r="B100" s="30" t="s">
        <v>24</v>
      </c>
      <c r="C100" s="30">
        <v>24</v>
      </c>
      <c r="D100" s="30">
        <v>8</v>
      </c>
      <c r="E100" s="30" t="s">
        <v>40</v>
      </c>
      <c r="F100" s="30" t="s">
        <v>60</v>
      </c>
      <c r="G100" s="134">
        <v>42892</v>
      </c>
      <c r="H100" s="19">
        <v>42891</v>
      </c>
      <c r="I100" s="19"/>
      <c r="J100" s="92">
        <v>1</v>
      </c>
      <c r="K100" s="153">
        <v>0</v>
      </c>
      <c r="L100" s="157">
        <f t="shared" si="6"/>
        <v>434.78486486486514</v>
      </c>
      <c r="M100" s="161">
        <f t="shared" si="7"/>
        <v>0.43478486486486512</v>
      </c>
      <c r="N100" s="193">
        <v>2</v>
      </c>
      <c r="O100" s="37"/>
      <c r="P100" s="190">
        <v>68</v>
      </c>
      <c r="Q100" s="187">
        <v>54.864864864865105</v>
      </c>
      <c r="R100" s="187">
        <v>84.000000000000014</v>
      </c>
      <c r="S100" s="187">
        <v>131.92000000000002</v>
      </c>
      <c r="T100" s="187">
        <v>96</v>
      </c>
      <c r="U100" s="187">
        <v>0</v>
      </c>
      <c r="V100" s="6"/>
      <c r="W100" s="6"/>
      <c r="X100" s="6"/>
      <c r="Y100" s="22"/>
    </row>
    <row r="101" spans="1:25" hidden="1">
      <c r="A101" s="36">
        <v>104</v>
      </c>
      <c r="B101" s="30" t="s">
        <v>24</v>
      </c>
      <c r="C101" s="6">
        <v>25</v>
      </c>
      <c r="D101" s="30">
        <v>8</v>
      </c>
      <c r="E101" s="30" t="s">
        <v>0</v>
      </c>
      <c r="F101" s="30" t="s">
        <v>105</v>
      </c>
      <c r="G101" s="134">
        <v>42892</v>
      </c>
      <c r="H101" s="19">
        <v>42891</v>
      </c>
      <c r="I101" s="6"/>
      <c r="J101" s="92">
        <v>1</v>
      </c>
      <c r="K101" s="153">
        <v>0</v>
      </c>
      <c r="L101" s="157">
        <f t="shared" si="6"/>
        <v>297.45945945945954</v>
      </c>
      <c r="M101" s="161">
        <f t="shared" si="7"/>
        <v>0.29745945945945956</v>
      </c>
      <c r="N101" s="193" t="s">
        <v>322</v>
      </c>
      <c r="O101" s="37"/>
      <c r="P101" s="190">
        <v>88</v>
      </c>
      <c r="Q101" s="187">
        <v>109.45945945945952</v>
      </c>
      <c r="R101" s="187">
        <v>0</v>
      </c>
      <c r="S101" s="187">
        <v>0</v>
      </c>
      <c r="T101" s="187">
        <v>100</v>
      </c>
      <c r="U101" s="187">
        <v>0</v>
      </c>
      <c r="V101" s="6"/>
      <c r="W101" s="6"/>
      <c r="X101" s="6"/>
      <c r="Y101" s="22"/>
    </row>
    <row r="102" spans="1:25" hidden="1">
      <c r="A102" s="36">
        <v>105</v>
      </c>
      <c r="B102" s="30" t="s">
        <v>24</v>
      </c>
      <c r="C102" s="30">
        <v>26</v>
      </c>
      <c r="D102" s="30">
        <v>7</v>
      </c>
      <c r="E102" s="30" t="s">
        <v>177</v>
      </c>
      <c r="F102" s="30" t="s">
        <v>170</v>
      </c>
      <c r="G102" s="134">
        <v>42892</v>
      </c>
      <c r="H102" s="19">
        <v>42891</v>
      </c>
      <c r="I102" s="6"/>
      <c r="J102" s="92">
        <v>1</v>
      </c>
      <c r="K102" s="153">
        <v>0</v>
      </c>
      <c r="L102" s="157">
        <f t="shared" si="6"/>
        <v>614.62486486486455</v>
      </c>
      <c r="M102" s="161">
        <f t="shared" si="7"/>
        <v>0.61462486486486456</v>
      </c>
      <c r="N102" s="193">
        <v>3</v>
      </c>
      <c r="O102" s="37"/>
      <c r="P102" s="190">
        <v>88</v>
      </c>
      <c r="Q102" s="187">
        <v>64.864864864864501</v>
      </c>
      <c r="R102" s="187">
        <v>126.96000000000001</v>
      </c>
      <c r="S102" s="187">
        <v>144</v>
      </c>
      <c r="T102" s="187">
        <v>80.800000000000011</v>
      </c>
      <c r="U102" s="187">
        <v>110.00000000000001</v>
      </c>
      <c r="V102" s="6"/>
      <c r="W102" s="6"/>
      <c r="X102" s="6"/>
      <c r="Y102" s="22"/>
    </row>
    <row r="103" spans="1:25" hidden="1">
      <c r="A103" s="36">
        <v>106</v>
      </c>
      <c r="B103" s="30" t="s">
        <v>24</v>
      </c>
      <c r="C103" s="6">
        <v>27</v>
      </c>
      <c r="D103" s="30">
        <v>7</v>
      </c>
      <c r="E103" s="30" t="s">
        <v>192</v>
      </c>
      <c r="F103" s="30" t="s">
        <v>171</v>
      </c>
      <c r="G103" s="134">
        <v>42892</v>
      </c>
      <c r="H103" s="19">
        <v>42891</v>
      </c>
      <c r="I103" s="6"/>
      <c r="J103" s="92">
        <v>1</v>
      </c>
      <c r="K103" s="153">
        <v>0</v>
      </c>
      <c r="L103" s="157">
        <f t="shared" si="6"/>
        <v>633.78378378378352</v>
      </c>
      <c r="M103" s="161">
        <f t="shared" si="7"/>
        <v>0.63378378378378353</v>
      </c>
      <c r="N103" s="193">
        <v>2</v>
      </c>
      <c r="O103" s="37"/>
      <c r="P103" s="190">
        <v>72</v>
      </c>
      <c r="Q103" s="187">
        <v>133.78378378378352</v>
      </c>
      <c r="R103" s="187">
        <v>0</v>
      </c>
      <c r="S103" s="187">
        <v>128</v>
      </c>
      <c r="T103" s="187">
        <v>100</v>
      </c>
      <c r="U103" s="187">
        <v>0</v>
      </c>
      <c r="V103" s="6"/>
      <c r="W103" s="6"/>
      <c r="X103" s="6"/>
      <c r="Y103" s="22">
        <v>200</v>
      </c>
    </row>
    <row r="104" spans="1:25" hidden="1">
      <c r="A104" s="36">
        <v>107</v>
      </c>
      <c r="B104" s="30" t="s">
        <v>24</v>
      </c>
      <c r="C104" s="30">
        <v>28</v>
      </c>
      <c r="D104" s="30">
        <v>8</v>
      </c>
      <c r="E104" s="30" t="s">
        <v>68</v>
      </c>
      <c r="F104" s="30" t="s">
        <v>53</v>
      </c>
      <c r="G104" s="134">
        <v>42892</v>
      </c>
      <c r="H104" s="19">
        <v>42891</v>
      </c>
      <c r="I104" s="19"/>
      <c r="J104" s="92">
        <v>1</v>
      </c>
      <c r="K104" s="153">
        <v>0</v>
      </c>
      <c r="L104" s="157">
        <f t="shared" si="6"/>
        <v>488.33945945945953</v>
      </c>
      <c r="M104" s="161">
        <f t="shared" si="7"/>
        <v>0.48833945945945956</v>
      </c>
      <c r="N104" s="193">
        <v>2</v>
      </c>
      <c r="O104" s="37"/>
      <c r="P104" s="190">
        <v>76</v>
      </c>
      <c r="Q104" s="187">
        <v>109.45945945945952</v>
      </c>
      <c r="R104" s="187">
        <v>0</v>
      </c>
      <c r="S104" s="187">
        <v>120.88000000000001</v>
      </c>
      <c r="T104" s="187">
        <v>92</v>
      </c>
      <c r="U104" s="187">
        <v>0</v>
      </c>
      <c r="V104" s="6"/>
      <c r="W104" s="6"/>
      <c r="X104" s="6">
        <v>90</v>
      </c>
      <c r="Y104" s="22"/>
    </row>
    <row r="105" spans="1:25" hidden="1">
      <c r="A105" s="36">
        <v>108</v>
      </c>
      <c r="B105" s="30" t="s">
        <v>24</v>
      </c>
      <c r="C105" s="6">
        <v>29</v>
      </c>
      <c r="D105" s="30">
        <v>7</v>
      </c>
      <c r="E105" s="30" t="s">
        <v>48</v>
      </c>
      <c r="F105" s="30" t="s">
        <v>172</v>
      </c>
      <c r="G105" s="134">
        <v>42892</v>
      </c>
      <c r="H105" s="19">
        <v>42891</v>
      </c>
      <c r="I105" s="6"/>
      <c r="J105" s="92">
        <v>1</v>
      </c>
      <c r="K105" s="153">
        <v>0</v>
      </c>
      <c r="L105" s="157">
        <f t="shared" si="6"/>
        <v>417.34270270270247</v>
      </c>
      <c r="M105" s="161">
        <f t="shared" si="7"/>
        <v>0.41734270270270246</v>
      </c>
      <c r="N105" s="193">
        <v>2</v>
      </c>
      <c r="O105" s="37"/>
      <c r="P105" s="190">
        <v>92</v>
      </c>
      <c r="Q105" s="187">
        <v>52.702702702702496</v>
      </c>
      <c r="R105" s="187">
        <v>60</v>
      </c>
      <c r="S105" s="187">
        <v>144.64000000000001</v>
      </c>
      <c r="T105" s="187">
        <v>68</v>
      </c>
      <c r="U105" s="187">
        <v>0</v>
      </c>
      <c r="V105" s="6"/>
      <c r="W105" s="6"/>
      <c r="X105" s="6"/>
      <c r="Y105" s="22"/>
    </row>
    <row r="106" spans="1:25" hidden="1">
      <c r="A106" s="36">
        <v>109</v>
      </c>
      <c r="B106" s="30" t="s">
        <v>24</v>
      </c>
      <c r="C106" s="6">
        <v>31</v>
      </c>
      <c r="D106" s="30">
        <v>7</v>
      </c>
      <c r="E106" s="6" t="s">
        <v>162</v>
      </c>
      <c r="F106" s="6" t="s">
        <v>163</v>
      </c>
      <c r="G106" s="134">
        <v>42892</v>
      </c>
      <c r="H106" s="19">
        <v>42891</v>
      </c>
      <c r="I106" s="6"/>
      <c r="J106" s="92">
        <v>1</v>
      </c>
      <c r="K106" s="153">
        <v>0</v>
      </c>
      <c r="L106" s="157">
        <f t="shared" si="6"/>
        <v>411.14918918918852</v>
      </c>
      <c r="M106" s="161">
        <f t="shared" si="7"/>
        <v>0.41114918918918852</v>
      </c>
      <c r="N106" s="193">
        <v>2</v>
      </c>
      <c r="O106" s="37"/>
      <c r="P106" s="190">
        <v>59.8</v>
      </c>
      <c r="Q106" s="187">
        <v>89.189189189188497</v>
      </c>
      <c r="R106" s="187">
        <v>71.760000000000005</v>
      </c>
      <c r="S106" s="187">
        <v>0</v>
      </c>
      <c r="T106" s="187">
        <v>80.400000000000006</v>
      </c>
      <c r="U106" s="187">
        <v>110.00000000000001</v>
      </c>
      <c r="V106" s="6"/>
      <c r="W106" s="6"/>
      <c r="X106" s="6"/>
      <c r="Y106" s="22"/>
    </row>
    <row r="107" spans="1:25" hidden="1">
      <c r="A107" s="36">
        <v>110</v>
      </c>
      <c r="B107" s="30" t="s">
        <v>24</v>
      </c>
      <c r="C107" s="6">
        <v>32</v>
      </c>
      <c r="D107" s="30">
        <v>8</v>
      </c>
      <c r="E107" s="6" t="s">
        <v>65</v>
      </c>
      <c r="F107" s="6" t="s">
        <v>59</v>
      </c>
      <c r="G107" s="134">
        <v>42892</v>
      </c>
      <c r="H107" s="19">
        <v>42891</v>
      </c>
      <c r="I107" s="6"/>
      <c r="J107" s="92">
        <v>1</v>
      </c>
      <c r="K107" s="153">
        <v>0</v>
      </c>
      <c r="L107" s="157">
        <f t="shared" si="6"/>
        <v>79.600000000000009</v>
      </c>
      <c r="M107" s="161">
        <f t="shared" si="7"/>
        <v>7.9600000000000004E-2</v>
      </c>
      <c r="N107" s="193">
        <v>1</v>
      </c>
      <c r="O107" s="37"/>
      <c r="P107" s="190"/>
      <c r="Q107" s="187"/>
      <c r="R107" s="187"/>
      <c r="S107" s="187"/>
      <c r="T107" s="187">
        <v>79.600000000000009</v>
      </c>
      <c r="U107" s="187">
        <v>0</v>
      </c>
      <c r="V107" s="6"/>
      <c r="W107" s="6"/>
      <c r="X107" s="6"/>
      <c r="Y107" s="22"/>
    </row>
    <row r="108" spans="1:25" ht="15" hidden="1" thickBot="1">
      <c r="A108" s="38">
        <v>72</v>
      </c>
      <c r="B108" s="31" t="s">
        <v>24</v>
      </c>
      <c r="C108" s="31">
        <v>33</v>
      </c>
      <c r="D108" s="31">
        <v>8</v>
      </c>
      <c r="E108" s="31" t="s">
        <v>79</v>
      </c>
      <c r="F108" s="31" t="s">
        <v>143</v>
      </c>
      <c r="G108" s="129">
        <v>42892</v>
      </c>
      <c r="H108" s="25">
        <v>42891</v>
      </c>
      <c r="I108" s="24"/>
      <c r="J108" s="93">
        <v>1</v>
      </c>
      <c r="K108" s="154">
        <v>0</v>
      </c>
      <c r="L108" s="158">
        <f t="shared" si="6"/>
        <v>401.56756756756704</v>
      </c>
      <c r="M108" s="162">
        <f t="shared" si="7"/>
        <v>0.40156756756756706</v>
      </c>
      <c r="N108" s="194">
        <v>2</v>
      </c>
      <c r="O108" s="28"/>
      <c r="P108" s="191">
        <v>0</v>
      </c>
      <c r="Q108" s="188">
        <v>117.56756756756701</v>
      </c>
      <c r="R108" s="188">
        <v>72</v>
      </c>
      <c r="S108" s="188">
        <v>128</v>
      </c>
      <c r="T108" s="188">
        <v>84</v>
      </c>
      <c r="U108" s="188">
        <v>0</v>
      </c>
      <c r="V108" s="24"/>
      <c r="W108" s="24"/>
      <c r="X108" s="24"/>
      <c r="Y108" s="28"/>
    </row>
    <row r="110" spans="1:25">
      <c r="J110" s="10" t="s">
        <v>332</v>
      </c>
      <c r="M110" s="10" t="s">
        <v>333</v>
      </c>
      <c r="O110" s="10" t="s">
        <v>329</v>
      </c>
      <c r="P110" s="10" t="s">
        <v>333</v>
      </c>
    </row>
    <row r="111" spans="1:25">
      <c r="J111" s="10" t="s">
        <v>331</v>
      </c>
      <c r="O111" s="10" t="s">
        <v>330</v>
      </c>
    </row>
  </sheetData>
  <autoFilter ref="A1:O108">
    <filterColumn colId="3">
      <filters>
        <filter val="5"/>
        <filter val="6"/>
      </filters>
    </filterColumn>
    <sortState ref="A35:O62">
      <sortCondition ref="B1:B108"/>
    </sortState>
  </autoFilter>
  <sortState ref="A3:Y108">
    <sortCondition ref="B3:B108"/>
    <sortCondition ref="C3:C108"/>
  </sortState>
  <mergeCells count="12">
    <mergeCell ref="N1:N2"/>
    <mergeCell ref="A1:A2"/>
    <mergeCell ref="B1:B2"/>
    <mergeCell ref="C1:C2"/>
    <mergeCell ref="D1:D2"/>
    <mergeCell ref="E1:E2"/>
    <mergeCell ref="F1:F2"/>
    <mergeCell ref="G1:G2"/>
    <mergeCell ref="H1:H2"/>
    <mergeCell ref="J1:J2"/>
    <mergeCell ref="K1:K2"/>
    <mergeCell ref="M1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Arkusz3</vt:lpstr>
      <vt:lpstr>lista_uczniów</vt:lpstr>
      <vt:lpstr>np</vt:lpstr>
      <vt:lpstr>komunikacja</vt:lpstr>
      <vt:lpstr>formatowanie</vt:lpstr>
      <vt:lpstr>punktacja</vt:lpstr>
      <vt:lpstr>rozmieszczanie</vt:lpstr>
      <vt:lpstr>spisy</vt:lpstr>
      <vt:lpstr>tabliczka</vt:lpstr>
      <vt:lpstr>f_warunkowe</vt:lpstr>
      <vt:lpstr>prezentacja</vt:lpstr>
      <vt:lpstr>pok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2019-01-11T07:44:28Z</dcterms:modified>
</cp:coreProperties>
</file>